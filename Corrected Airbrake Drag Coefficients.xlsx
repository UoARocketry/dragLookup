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ghav Batra\Documents\Projects\dragLookup\"/>
    </mc:Choice>
  </mc:AlternateContent>
  <xr:revisionPtr revIDLastSave="0" documentId="13_ncr:1_{7D1AFD97-F2C4-4BF8-A56B-5871BF02C6C6}" xr6:coauthVersionLast="47" xr6:coauthVersionMax="47" xr10:uidLastSave="{00000000-0000-0000-0000-000000000000}"/>
  <bookViews>
    <workbookView xWindow="-120" yWindow="-120" windowWidth="29040" windowHeight="15990" activeTab="1" xr2:uid="{39DDCD0F-584B-456C-86AF-10EEE41D7B4C}"/>
  </bookViews>
  <sheets>
    <sheet name="Corrections" sheetId="3" r:id="rId1"/>
    <sheet name="Single Airbrake" sheetId="1" r:id="rId2"/>
    <sheet name="Rocket without Airbrake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11" i="3" l="1"/>
  <c r="K311" i="3" s="1"/>
  <c r="L287" i="3"/>
  <c r="K287" i="3" s="1"/>
  <c r="L263" i="3"/>
  <c r="K263" i="3" s="1"/>
  <c r="L239" i="3"/>
  <c r="K239" i="3" s="1"/>
  <c r="L215" i="3"/>
  <c r="K215" i="3" s="1"/>
  <c r="L191" i="3"/>
  <c r="K191" i="3" s="1"/>
  <c r="L167" i="3"/>
  <c r="K167" i="3" s="1"/>
  <c r="L143" i="3"/>
  <c r="K143" i="3" s="1"/>
  <c r="L119" i="3"/>
  <c r="K119" i="3" s="1"/>
  <c r="L95" i="3"/>
  <c r="K95" i="3" s="1"/>
  <c r="L71" i="3"/>
  <c r="K71" i="3" s="1"/>
  <c r="L47" i="3"/>
  <c r="K47" i="3" s="1"/>
  <c r="L15" i="3"/>
  <c r="K15" i="3" s="1"/>
  <c r="B3" i="3"/>
  <c r="D3" i="3" s="1"/>
  <c r="L323" i="3" s="1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48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45" i="1"/>
  <c r="A43" i="1"/>
  <c r="I42" i="1"/>
  <c r="H42" i="1"/>
  <c r="G42" i="1"/>
  <c r="F42" i="1"/>
  <c r="E42" i="1"/>
  <c r="D42" i="1"/>
  <c r="C42" i="1"/>
  <c r="B42" i="1"/>
  <c r="A42" i="1"/>
  <c r="I41" i="1"/>
  <c r="H41" i="1"/>
  <c r="Q27" i="1" s="1" a="1"/>
  <c r="Q27" i="1" s="1"/>
  <c r="G41" i="1"/>
  <c r="F41" i="1"/>
  <c r="E41" i="1"/>
  <c r="D41" i="1"/>
  <c r="C41" i="1"/>
  <c r="B41" i="1"/>
  <c r="A41" i="1"/>
  <c r="A40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K35" i="1"/>
  <c r="G63" i="1" s="1"/>
  <c r="A35" i="1"/>
  <c r="K34" i="1"/>
  <c r="G62" i="1" s="1"/>
  <c r="K33" i="1"/>
  <c r="G61" i="1" s="1"/>
  <c r="A33" i="1"/>
  <c r="K32" i="1"/>
  <c r="G60" i="1" s="1"/>
  <c r="E32" i="1"/>
  <c r="D32" i="1"/>
  <c r="C32" i="1"/>
  <c r="B32" i="1"/>
  <c r="A32" i="1"/>
  <c r="K31" i="1"/>
  <c r="G59" i="1" s="1"/>
  <c r="E31" i="1"/>
  <c r="D31" i="1"/>
  <c r="C31" i="1"/>
  <c r="B31" i="1"/>
  <c r="A31" i="1"/>
  <c r="K30" i="1"/>
  <c r="G58" i="1" s="1"/>
  <c r="A30" i="1"/>
  <c r="K29" i="1"/>
  <c r="G57" i="1" s="1"/>
  <c r="K28" i="1"/>
  <c r="G56" i="1" s="1"/>
  <c r="A28" i="1"/>
  <c r="K27" i="1"/>
  <c r="G55" i="1" s="1"/>
  <c r="E27" i="1"/>
  <c r="D27" i="1"/>
  <c r="C27" i="1"/>
  <c r="B27" i="1"/>
  <c r="A27" i="1"/>
  <c r="K26" i="1"/>
  <c r="E26" i="1"/>
  <c r="D26" i="1"/>
  <c r="C26" i="1"/>
  <c r="B26" i="1"/>
  <c r="Q4" i="1" s="1" a="1"/>
  <c r="Q4" i="1" s="1"/>
  <c r="A26" i="1"/>
  <c r="A25" i="1"/>
  <c r="Q11" i="1" a="1"/>
  <c r="Q11" i="1" s="1"/>
  <c r="Q38" i="1" l="1" a="1"/>
  <c r="Q38" i="1" s="1"/>
  <c r="Q18" i="1" a="1"/>
  <c r="Q18" i="1" s="1"/>
  <c r="B53" i="1" a="1"/>
  <c r="B53" i="1" s="1"/>
  <c r="K323" i="3"/>
  <c r="M323" i="3"/>
  <c r="M15" i="3"/>
  <c r="M95" i="3"/>
  <c r="M239" i="3"/>
  <c r="L51" i="3"/>
  <c r="L75" i="3"/>
  <c r="L99" i="3"/>
  <c r="L123" i="3"/>
  <c r="L147" i="3"/>
  <c r="L171" i="3"/>
  <c r="L195" i="3"/>
  <c r="L219" i="3"/>
  <c r="L243" i="3"/>
  <c r="L267" i="3"/>
  <c r="L291" i="3"/>
  <c r="L315" i="3"/>
  <c r="M167" i="3"/>
  <c r="L16" i="3"/>
  <c r="L31" i="3"/>
  <c r="M191" i="3"/>
  <c r="L55" i="3"/>
  <c r="L79" i="3"/>
  <c r="L103" i="3"/>
  <c r="L127" i="3"/>
  <c r="L151" i="3"/>
  <c r="L175" i="3"/>
  <c r="L199" i="3"/>
  <c r="L223" i="3"/>
  <c r="L247" i="3"/>
  <c r="L271" i="3"/>
  <c r="L295" i="3"/>
  <c r="L319" i="3"/>
  <c r="M71" i="3"/>
  <c r="M143" i="3"/>
  <c r="L7" i="3"/>
  <c r="M47" i="3"/>
  <c r="M263" i="3"/>
  <c r="L19" i="3"/>
  <c r="L8" i="3"/>
  <c r="L20" i="3"/>
  <c r="L35" i="3"/>
  <c r="L59" i="3"/>
  <c r="L83" i="3"/>
  <c r="L107" i="3"/>
  <c r="L131" i="3"/>
  <c r="L155" i="3"/>
  <c r="L179" i="3"/>
  <c r="L203" i="3"/>
  <c r="L227" i="3"/>
  <c r="L251" i="3"/>
  <c r="L275" i="3"/>
  <c r="L299" i="3"/>
  <c r="L334" i="3"/>
  <c r="L330" i="3"/>
  <c r="L326" i="3"/>
  <c r="L322" i="3"/>
  <c r="L318" i="3"/>
  <c r="L314" i="3"/>
  <c r="L310" i="3"/>
  <c r="L306" i="3"/>
  <c r="L302" i="3"/>
  <c r="L298" i="3"/>
  <c r="L294" i="3"/>
  <c r="L290" i="3"/>
  <c r="L286" i="3"/>
  <c r="L282" i="3"/>
  <c r="L278" i="3"/>
  <c r="L274" i="3"/>
  <c r="L270" i="3"/>
  <c r="L266" i="3"/>
  <c r="L262" i="3"/>
  <c r="L258" i="3"/>
  <c r="L254" i="3"/>
  <c r="L250" i="3"/>
  <c r="L246" i="3"/>
  <c r="L242" i="3"/>
  <c r="L238" i="3"/>
  <c r="L234" i="3"/>
  <c r="L230" i="3"/>
  <c r="L226" i="3"/>
  <c r="L222" i="3"/>
  <c r="L218" i="3"/>
  <c r="L214" i="3"/>
  <c r="L210" i="3"/>
  <c r="L206" i="3"/>
  <c r="L202" i="3"/>
  <c r="L198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333" i="3"/>
  <c r="L329" i="3"/>
  <c r="L325" i="3"/>
  <c r="L321" i="3"/>
  <c r="L317" i="3"/>
  <c r="L313" i="3"/>
  <c r="L309" i="3"/>
  <c r="L305" i="3"/>
  <c r="L301" i="3"/>
  <c r="L297" i="3"/>
  <c r="L293" i="3"/>
  <c r="L289" i="3"/>
  <c r="L285" i="3"/>
  <c r="L281" i="3"/>
  <c r="L277" i="3"/>
  <c r="L273" i="3"/>
  <c r="L269" i="3"/>
  <c r="L265" i="3"/>
  <c r="L261" i="3"/>
  <c r="L257" i="3"/>
  <c r="L253" i="3"/>
  <c r="L249" i="3"/>
  <c r="L245" i="3"/>
  <c r="L241" i="3"/>
  <c r="L237" i="3"/>
  <c r="L233" i="3"/>
  <c r="L229" i="3"/>
  <c r="L225" i="3"/>
  <c r="L221" i="3"/>
  <c r="L217" i="3"/>
  <c r="L213" i="3"/>
  <c r="L209" i="3"/>
  <c r="L205" i="3"/>
  <c r="L201" i="3"/>
  <c r="L197" i="3"/>
  <c r="L193" i="3"/>
  <c r="L189" i="3"/>
  <c r="L185" i="3"/>
  <c r="L181" i="3"/>
  <c r="L177" i="3"/>
  <c r="L173" i="3"/>
  <c r="L169" i="3"/>
  <c r="L165" i="3"/>
  <c r="L161" i="3"/>
  <c r="L157" i="3"/>
  <c r="L153" i="3"/>
  <c r="L149" i="3"/>
  <c r="L145" i="3"/>
  <c r="L141" i="3"/>
  <c r="L137" i="3"/>
  <c r="L133" i="3"/>
  <c r="L129" i="3"/>
  <c r="L125" i="3"/>
  <c r="L121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56" i="3"/>
  <c r="L40" i="3"/>
  <c r="L60" i="3"/>
  <c r="L32" i="3"/>
  <c r="L332" i="3"/>
  <c r="L328" i="3"/>
  <c r="L324" i="3"/>
  <c r="L320" i="3"/>
  <c r="L316" i="3"/>
  <c r="L312" i="3"/>
  <c r="L308" i="3"/>
  <c r="L304" i="3"/>
  <c r="L300" i="3"/>
  <c r="L296" i="3"/>
  <c r="L292" i="3"/>
  <c r="L288" i="3"/>
  <c r="L284" i="3"/>
  <c r="L280" i="3"/>
  <c r="L276" i="3"/>
  <c r="L272" i="3"/>
  <c r="L268" i="3"/>
  <c r="L264" i="3"/>
  <c r="L260" i="3"/>
  <c r="L256" i="3"/>
  <c r="L252" i="3"/>
  <c r="L248" i="3"/>
  <c r="L244" i="3"/>
  <c r="L240" i="3"/>
  <c r="L236" i="3"/>
  <c r="L232" i="3"/>
  <c r="L228" i="3"/>
  <c r="L224" i="3"/>
  <c r="L220" i="3"/>
  <c r="L216" i="3"/>
  <c r="L212" i="3"/>
  <c r="L208" i="3"/>
  <c r="L204" i="3"/>
  <c r="L200" i="3"/>
  <c r="L196" i="3"/>
  <c r="L192" i="3"/>
  <c r="L188" i="3"/>
  <c r="L184" i="3"/>
  <c r="L180" i="3"/>
  <c r="L176" i="3"/>
  <c r="L172" i="3"/>
  <c r="L168" i="3"/>
  <c r="L164" i="3"/>
  <c r="L160" i="3"/>
  <c r="L156" i="3"/>
  <c r="L152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52" i="3"/>
  <c r="L48" i="3"/>
  <c r="L44" i="3"/>
  <c r="L36" i="3"/>
  <c r="L24" i="3"/>
  <c r="L28" i="3"/>
  <c r="M119" i="3"/>
  <c r="L11" i="3"/>
  <c r="L39" i="3"/>
  <c r="L63" i="3"/>
  <c r="L111" i="3"/>
  <c r="L135" i="3"/>
  <c r="L159" i="3"/>
  <c r="L183" i="3"/>
  <c r="L207" i="3"/>
  <c r="L231" i="3"/>
  <c r="L255" i="3"/>
  <c r="L279" i="3"/>
  <c r="L303" i="3"/>
  <c r="L327" i="3"/>
  <c r="M311" i="3"/>
  <c r="M287" i="3"/>
  <c r="L23" i="3"/>
  <c r="L87" i="3"/>
  <c r="L12" i="3"/>
  <c r="L43" i="3"/>
  <c r="L67" i="3"/>
  <c r="L91" i="3"/>
  <c r="L115" i="3"/>
  <c r="L139" i="3"/>
  <c r="L163" i="3"/>
  <c r="L187" i="3"/>
  <c r="L211" i="3"/>
  <c r="L235" i="3"/>
  <c r="L259" i="3"/>
  <c r="L283" i="3"/>
  <c r="L307" i="3"/>
  <c r="L331" i="3"/>
  <c r="M215" i="3"/>
  <c r="L27" i="3"/>
  <c r="G54" i="1"/>
  <c r="M80" i="3" l="1"/>
  <c r="K80" i="3"/>
  <c r="M26" i="3"/>
  <c r="K26" i="3"/>
  <c r="M276" i="3"/>
  <c r="K276" i="3"/>
  <c r="M78" i="3"/>
  <c r="K78" i="3"/>
  <c r="K211" i="3"/>
  <c r="M211" i="3"/>
  <c r="K39" i="3"/>
  <c r="M39" i="3"/>
  <c r="M76" i="3"/>
  <c r="K76" i="3"/>
  <c r="M124" i="3"/>
  <c r="K124" i="3"/>
  <c r="M172" i="3"/>
  <c r="K172" i="3"/>
  <c r="M220" i="3"/>
  <c r="K220" i="3"/>
  <c r="M268" i="3"/>
  <c r="K268" i="3"/>
  <c r="M316" i="3"/>
  <c r="K316" i="3"/>
  <c r="K17" i="3"/>
  <c r="M17" i="3"/>
  <c r="M65" i="3"/>
  <c r="K65" i="3"/>
  <c r="M113" i="3"/>
  <c r="K113" i="3"/>
  <c r="M161" i="3"/>
  <c r="K161" i="3"/>
  <c r="M209" i="3"/>
  <c r="K209" i="3"/>
  <c r="M257" i="3"/>
  <c r="K257" i="3"/>
  <c r="M305" i="3"/>
  <c r="K305" i="3"/>
  <c r="M22" i="3"/>
  <c r="K22" i="3"/>
  <c r="M70" i="3"/>
  <c r="K70" i="3"/>
  <c r="M118" i="3"/>
  <c r="K118" i="3"/>
  <c r="M166" i="3"/>
  <c r="K166" i="3"/>
  <c r="M214" i="3"/>
  <c r="K214" i="3"/>
  <c r="M262" i="3"/>
  <c r="K262" i="3"/>
  <c r="M310" i="3"/>
  <c r="K310" i="3"/>
  <c r="K179" i="3"/>
  <c r="M179" i="3"/>
  <c r="K7" i="3"/>
  <c r="M7" i="3"/>
  <c r="K103" i="3"/>
  <c r="M103" i="3"/>
  <c r="K195" i="3"/>
  <c r="M195" i="3"/>
  <c r="K187" i="3"/>
  <c r="M187" i="3"/>
  <c r="M176" i="3"/>
  <c r="K176" i="3"/>
  <c r="M117" i="3"/>
  <c r="K117" i="3"/>
  <c r="M74" i="3"/>
  <c r="K74" i="3"/>
  <c r="K303" i="3"/>
  <c r="M303" i="3"/>
  <c r="M270" i="3"/>
  <c r="K270" i="3"/>
  <c r="K139" i="3"/>
  <c r="M139" i="3"/>
  <c r="K279" i="3"/>
  <c r="M279" i="3"/>
  <c r="M28" i="3"/>
  <c r="K28" i="3"/>
  <c r="M88" i="3"/>
  <c r="K88" i="3"/>
  <c r="M136" i="3"/>
  <c r="K136" i="3"/>
  <c r="M184" i="3"/>
  <c r="K184" i="3"/>
  <c r="M232" i="3"/>
  <c r="K232" i="3"/>
  <c r="M280" i="3"/>
  <c r="K280" i="3"/>
  <c r="M328" i="3"/>
  <c r="K328" i="3"/>
  <c r="K29" i="3"/>
  <c r="M29" i="3"/>
  <c r="M77" i="3"/>
  <c r="K77" i="3"/>
  <c r="M125" i="3"/>
  <c r="K125" i="3"/>
  <c r="M173" i="3"/>
  <c r="K173" i="3"/>
  <c r="M221" i="3"/>
  <c r="K221" i="3"/>
  <c r="M269" i="3"/>
  <c r="K269" i="3"/>
  <c r="M317" i="3"/>
  <c r="K317" i="3"/>
  <c r="M34" i="3"/>
  <c r="K34" i="3"/>
  <c r="M82" i="3"/>
  <c r="K82" i="3"/>
  <c r="M130" i="3"/>
  <c r="K130" i="3"/>
  <c r="M178" i="3"/>
  <c r="K178" i="3"/>
  <c r="M226" i="3"/>
  <c r="K226" i="3"/>
  <c r="M274" i="3"/>
  <c r="K274" i="3"/>
  <c r="M322" i="3"/>
  <c r="K322" i="3"/>
  <c r="K107" i="3"/>
  <c r="M107" i="3"/>
  <c r="K319" i="3"/>
  <c r="M319" i="3"/>
  <c r="K123" i="3"/>
  <c r="M123" i="3"/>
  <c r="K11" i="3"/>
  <c r="M11" i="3"/>
  <c r="M165" i="3"/>
  <c r="K165" i="3"/>
  <c r="M266" i="3"/>
  <c r="K266" i="3"/>
  <c r="M222" i="3"/>
  <c r="K222" i="3"/>
  <c r="K115" i="3"/>
  <c r="M115" i="3"/>
  <c r="K255" i="3"/>
  <c r="M255" i="3"/>
  <c r="M24" i="3"/>
  <c r="K24" i="3"/>
  <c r="M92" i="3"/>
  <c r="K92" i="3"/>
  <c r="M140" i="3"/>
  <c r="K140" i="3"/>
  <c r="M188" i="3"/>
  <c r="K188" i="3"/>
  <c r="M236" i="3"/>
  <c r="K236" i="3"/>
  <c r="M284" i="3"/>
  <c r="K284" i="3"/>
  <c r="M332" i="3"/>
  <c r="K332" i="3"/>
  <c r="K33" i="3"/>
  <c r="M33" i="3"/>
  <c r="M81" i="3"/>
  <c r="K81" i="3"/>
  <c r="M129" i="3"/>
  <c r="K129" i="3"/>
  <c r="M177" i="3"/>
  <c r="K177" i="3"/>
  <c r="M225" i="3"/>
  <c r="K225" i="3"/>
  <c r="M273" i="3"/>
  <c r="K273" i="3"/>
  <c r="M321" i="3"/>
  <c r="K321" i="3"/>
  <c r="M38" i="3"/>
  <c r="K38" i="3"/>
  <c r="M86" i="3"/>
  <c r="K86" i="3"/>
  <c r="M134" i="3"/>
  <c r="K134" i="3"/>
  <c r="M182" i="3"/>
  <c r="K182" i="3"/>
  <c r="M230" i="3"/>
  <c r="K230" i="3"/>
  <c r="M278" i="3"/>
  <c r="K278" i="3"/>
  <c r="M326" i="3"/>
  <c r="K326" i="3"/>
  <c r="K83" i="3"/>
  <c r="M83" i="3"/>
  <c r="K295" i="3"/>
  <c r="M295" i="3"/>
  <c r="K31" i="3"/>
  <c r="M31" i="3"/>
  <c r="K99" i="3"/>
  <c r="M99" i="3"/>
  <c r="K327" i="3"/>
  <c r="M327" i="3"/>
  <c r="M213" i="3"/>
  <c r="K213" i="3"/>
  <c r="M218" i="3"/>
  <c r="K218" i="3"/>
  <c r="K163" i="3"/>
  <c r="M163" i="3"/>
  <c r="K25" i="3"/>
  <c r="M25" i="3"/>
  <c r="M313" i="3"/>
  <c r="K313" i="3"/>
  <c r="K27" i="3"/>
  <c r="M27" i="3"/>
  <c r="K91" i="3"/>
  <c r="M91" i="3"/>
  <c r="K231" i="3"/>
  <c r="M231" i="3"/>
  <c r="M36" i="3"/>
  <c r="K36" i="3"/>
  <c r="M96" i="3"/>
  <c r="K96" i="3"/>
  <c r="M144" i="3"/>
  <c r="K144" i="3"/>
  <c r="M192" i="3"/>
  <c r="K192" i="3"/>
  <c r="M240" i="3"/>
  <c r="K240" i="3"/>
  <c r="M288" i="3"/>
  <c r="K288" i="3"/>
  <c r="M32" i="3"/>
  <c r="K32" i="3"/>
  <c r="M37" i="3"/>
  <c r="K37" i="3"/>
  <c r="M85" i="3"/>
  <c r="K85" i="3"/>
  <c r="M133" i="3"/>
  <c r="K133" i="3"/>
  <c r="M181" i="3"/>
  <c r="K181" i="3"/>
  <c r="M229" i="3"/>
  <c r="K229" i="3"/>
  <c r="M277" i="3"/>
  <c r="K277" i="3"/>
  <c r="M325" i="3"/>
  <c r="K325" i="3"/>
  <c r="M42" i="3"/>
  <c r="K42" i="3"/>
  <c r="M90" i="3"/>
  <c r="K90" i="3"/>
  <c r="M138" i="3"/>
  <c r="K138" i="3"/>
  <c r="M186" i="3"/>
  <c r="K186" i="3"/>
  <c r="M234" i="3"/>
  <c r="K234" i="3"/>
  <c r="M282" i="3"/>
  <c r="K282" i="3"/>
  <c r="M330" i="3"/>
  <c r="K330" i="3"/>
  <c r="K59" i="3"/>
  <c r="M59" i="3"/>
  <c r="K271" i="3"/>
  <c r="M271" i="3"/>
  <c r="M16" i="3"/>
  <c r="K16" i="3"/>
  <c r="K75" i="3"/>
  <c r="M75" i="3"/>
  <c r="M320" i="3"/>
  <c r="K320" i="3"/>
  <c r="K171" i="3"/>
  <c r="M171" i="3"/>
  <c r="M324" i="3"/>
  <c r="K324" i="3"/>
  <c r="M217" i="3"/>
  <c r="K217" i="3"/>
  <c r="M30" i="3"/>
  <c r="K30" i="3"/>
  <c r="M318" i="3"/>
  <c r="K318" i="3"/>
  <c r="K67" i="3"/>
  <c r="M67" i="3"/>
  <c r="K207" i="3"/>
  <c r="M207" i="3"/>
  <c r="M44" i="3"/>
  <c r="K44" i="3"/>
  <c r="M100" i="3"/>
  <c r="K100" i="3"/>
  <c r="M148" i="3"/>
  <c r="K148" i="3"/>
  <c r="M196" i="3"/>
  <c r="K196" i="3"/>
  <c r="M244" i="3"/>
  <c r="K244" i="3"/>
  <c r="M292" i="3"/>
  <c r="K292" i="3"/>
  <c r="M60" i="3"/>
  <c r="K60" i="3"/>
  <c r="M41" i="3"/>
  <c r="K41" i="3"/>
  <c r="M89" i="3"/>
  <c r="K89" i="3"/>
  <c r="M137" i="3"/>
  <c r="K137" i="3"/>
  <c r="M185" i="3"/>
  <c r="K185" i="3"/>
  <c r="M233" i="3"/>
  <c r="K233" i="3"/>
  <c r="M281" i="3"/>
  <c r="K281" i="3"/>
  <c r="M329" i="3"/>
  <c r="K329" i="3"/>
  <c r="M46" i="3"/>
  <c r="K46" i="3"/>
  <c r="M94" i="3"/>
  <c r="K94" i="3"/>
  <c r="M142" i="3"/>
  <c r="K142" i="3"/>
  <c r="M190" i="3"/>
  <c r="K190" i="3"/>
  <c r="M238" i="3"/>
  <c r="K238" i="3"/>
  <c r="M286" i="3"/>
  <c r="K286" i="3"/>
  <c r="M334" i="3"/>
  <c r="K334" i="3"/>
  <c r="K35" i="3"/>
  <c r="M35" i="3"/>
  <c r="K247" i="3"/>
  <c r="M247" i="3"/>
  <c r="K51" i="3"/>
  <c r="M51" i="3"/>
  <c r="M69" i="3"/>
  <c r="K69" i="3"/>
  <c r="M122" i="3"/>
  <c r="K122" i="3"/>
  <c r="M228" i="3"/>
  <c r="K228" i="3"/>
  <c r="M174" i="3"/>
  <c r="K174" i="3"/>
  <c r="K331" i="3"/>
  <c r="M331" i="3"/>
  <c r="K43" i="3"/>
  <c r="M43" i="3"/>
  <c r="K183" i="3"/>
  <c r="M183" i="3"/>
  <c r="M48" i="3"/>
  <c r="K48" i="3"/>
  <c r="M104" i="3"/>
  <c r="K104" i="3"/>
  <c r="M152" i="3"/>
  <c r="K152" i="3"/>
  <c r="M200" i="3"/>
  <c r="K200" i="3"/>
  <c r="M248" i="3"/>
  <c r="K248" i="3"/>
  <c r="M296" i="3"/>
  <c r="K296" i="3"/>
  <c r="M40" i="3"/>
  <c r="K40" i="3"/>
  <c r="M45" i="3"/>
  <c r="K45" i="3"/>
  <c r="M93" i="3"/>
  <c r="K93" i="3"/>
  <c r="M141" i="3"/>
  <c r="K141" i="3"/>
  <c r="M189" i="3"/>
  <c r="K189" i="3"/>
  <c r="M237" i="3"/>
  <c r="K237" i="3"/>
  <c r="M285" i="3"/>
  <c r="K285" i="3"/>
  <c r="M333" i="3"/>
  <c r="K333" i="3"/>
  <c r="M50" i="3"/>
  <c r="K50" i="3"/>
  <c r="M98" i="3"/>
  <c r="K98" i="3"/>
  <c r="M146" i="3"/>
  <c r="K146" i="3"/>
  <c r="M194" i="3"/>
  <c r="K194" i="3"/>
  <c r="M242" i="3"/>
  <c r="K242" i="3"/>
  <c r="M290" i="3"/>
  <c r="K290" i="3"/>
  <c r="K299" i="3"/>
  <c r="M299" i="3"/>
  <c r="M20" i="3"/>
  <c r="K20" i="3"/>
  <c r="K223" i="3"/>
  <c r="M223" i="3"/>
  <c r="K315" i="3"/>
  <c r="M315" i="3"/>
  <c r="K21" i="3"/>
  <c r="M21" i="3"/>
  <c r="K155" i="3"/>
  <c r="M155" i="3"/>
  <c r="M121" i="3"/>
  <c r="K121" i="3"/>
  <c r="K147" i="3"/>
  <c r="M147" i="3"/>
  <c r="K307" i="3"/>
  <c r="M307" i="3"/>
  <c r="M12" i="3"/>
  <c r="K12" i="3"/>
  <c r="K159" i="3"/>
  <c r="M159" i="3"/>
  <c r="M52" i="3"/>
  <c r="K52" i="3"/>
  <c r="M108" i="3"/>
  <c r="K108" i="3"/>
  <c r="M156" i="3"/>
  <c r="K156" i="3"/>
  <c r="M204" i="3"/>
  <c r="K204" i="3"/>
  <c r="M252" i="3"/>
  <c r="K252" i="3"/>
  <c r="M300" i="3"/>
  <c r="K300" i="3"/>
  <c r="M56" i="3"/>
  <c r="K56" i="3"/>
  <c r="M49" i="3"/>
  <c r="K49" i="3"/>
  <c r="M97" i="3"/>
  <c r="K97" i="3"/>
  <c r="M145" i="3"/>
  <c r="K145" i="3"/>
  <c r="M193" i="3"/>
  <c r="K193" i="3"/>
  <c r="M241" i="3"/>
  <c r="K241" i="3"/>
  <c r="M289" i="3"/>
  <c r="K289" i="3"/>
  <c r="M6" i="3"/>
  <c r="K6" i="3"/>
  <c r="M54" i="3"/>
  <c r="K54" i="3"/>
  <c r="M102" i="3"/>
  <c r="K102" i="3"/>
  <c r="M150" i="3"/>
  <c r="K150" i="3"/>
  <c r="M198" i="3"/>
  <c r="K198" i="3"/>
  <c r="M246" i="3"/>
  <c r="K246" i="3"/>
  <c r="M294" i="3"/>
  <c r="K294" i="3"/>
  <c r="K275" i="3"/>
  <c r="M275" i="3"/>
  <c r="M8" i="3"/>
  <c r="K8" i="3"/>
  <c r="K199" i="3"/>
  <c r="M199" i="3"/>
  <c r="K291" i="3"/>
  <c r="M291" i="3"/>
  <c r="M128" i="3"/>
  <c r="K128" i="3"/>
  <c r="M309" i="3"/>
  <c r="K309" i="3"/>
  <c r="M314" i="3"/>
  <c r="K314" i="3"/>
  <c r="M84" i="3"/>
  <c r="K84" i="3"/>
  <c r="M126" i="3"/>
  <c r="K126" i="3"/>
  <c r="K283" i="3"/>
  <c r="M283" i="3"/>
  <c r="K87" i="3"/>
  <c r="M87" i="3"/>
  <c r="K135" i="3"/>
  <c r="M135" i="3"/>
  <c r="M64" i="3"/>
  <c r="K64" i="3"/>
  <c r="M112" i="3"/>
  <c r="K112" i="3"/>
  <c r="M160" i="3"/>
  <c r="K160" i="3"/>
  <c r="M208" i="3"/>
  <c r="K208" i="3"/>
  <c r="M256" i="3"/>
  <c r="K256" i="3"/>
  <c r="M304" i="3"/>
  <c r="K304" i="3"/>
  <c r="K5" i="3"/>
  <c r="M5" i="3"/>
  <c r="M53" i="3"/>
  <c r="K53" i="3"/>
  <c r="M101" i="3"/>
  <c r="K101" i="3"/>
  <c r="M149" i="3"/>
  <c r="K149" i="3"/>
  <c r="M197" i="3"/>
  <c r="K197" i="3"/>
  <c r="M245" i="3"/>
  <c r="K245" i="3"/>
  <c r="M293" i="3"/>
  <c r="K293" i="3"/>
  <c r="M10" i="3"/>
  <c r="K10" i="3"/>
  <c r="M58" i="3"/>
  <c r="K58" i="3"/>
  <c r="M106" i="3"/>
  <c r="K106" i="3"/>
  <c r="M154" i="3"/>
  <c r="K154" i="3"/>
  <c r="M202" i="3"/>
  <c r="K202" i="3"/>
  <c r="M250" i="3"/>
  <c r="K250" i="3"/>
  <c r="M298" i="3"/>
  <c r="K298" i="3"/>
  <c r="K251" i="3"/>
  <c r="M251" i="3"/>
  <c r="K19" i="3"/>
  <c r="M19" i="3"/>
  <c r="K175" i="3"/>
  <c r="M175" i="3"/>
  <c r="K267" i="3"/>
  <c r="M267" i="3"/>
  <c r="M272" i="3"/>
  <c r="K272" i="3"/>
  <c r="M261" i="3"/>
  <c r="K261" i="3"/>
  <c r="M170" i="3"/>
  <c r="K170" i="3"/>
  <c r="M180" i="3"/>
  <c r="K180" i="3"/>
  <c r="M169" i="3"/>
  <c r="K169" i="3"/>
  <c r="K55" i="3"/>
  <c r="M55" i="3"/>
  <c r="K259" i="3"/>
  <c r="M259" i="3"/>
  <c r="K23" i="3"/>
  <c r="M23" i="3"/>
  <c r="K111" i="3"/>
  <c r="M111" i="3"/>
  <c r="M68" i="3"/>
  <c r="K68" i="3"/>
  <c r="M116" i="3"/>
  <c r="K116" i="3"/>
  <c r="M164" i="3"/>
  <c r="K164" i="3"/>
  <c r="M212" i="3"/>
  <c r="K212" i="3"/>
  <c r="M260" i="3"/>
  <c r="K260" i="3"/>
  <c r="M308" i="3"/>
  <c r="K308" i="3"/>
  <c r="K9" i="3"/>
  <c r="M9" i="3"/>
  <c r="M57" i="3"/>
  <c r="K57" i="3"/>
  <c r="M105" i="3"/>
  <c r="K105" i="3"/>
  <c r="M153" i="3"/>
  <c r="K153" i="3"/>
  <c r="M201" i="3"/>
  <c r="K201" i="3"/>
  <c r="M249" i="3"/>
  <c r="K249" i="3"/>
  <c r="M297" i="3"/>
  <c r="K297" i="3"/>
  <c r="M14" i="3"/>
  <c r="K14" i="3"/>
  <c r="M62" i="3"/>
  <c r="K62" i="3"/>
  <c r="M110" i="3"/>
  <c r="K110" i="3"/>
  <c r="M158" i="3"/>
  <c r="K158" i="3"/>
  <c r="M206" i="3"/>
  <c r="K206" i="3"/>
  <c r="M254" i="3"/>
  <c r="K254" i="3"/>
  <c r="M302" i="3"/>
  <c r="K302" i="3"/>
  <c r="K227" i="3"/>
  <c r="M227" i="3"/>
  <c r="K151" i="3"/>
  <c r="M151" i="3"/>
  <c r="K243" i="3"/>
  <c r="M243" i="3"/>
  <c r="M224" i="3"/>
  <c r="K224" i="3"/>
  <c r="K79" i="3"/>
  <c r="M79" i="3"/>
  <c r="M132" i="3"/>
  <c r="K132" i="3"/>
  <c r="M73" i="3"/>
  <c r="K73" i="3"/>
  <c r="M265" i="3"/>
  <c r="K265" i="3"/>
  <c r="K131" i="3"/>
  <c r="M131" i="3"/>
  <c r="K235" i="3"/>
  <c r="M235" i="3"/>
  <c r="K63" i="3"/>
  <c r="M63" i="3"/>
  <c r="M72" i="3"/>
  <c r="K72" i="3"/>
  <c r="M120" i="3"/>
  <c r="K120" i="3"/>
  <c r="M168" i="3"/>
  <c r="K168" i="3"/>
  <c r="M216" i="3"/>
  <c r="K216" i="3"/>
  <c r="M264" i="3"/>
  <c r="K264" i="3"/>
  <c r="M312" i="3"/>
  <c r="K312" i="3"/>
  <c r="K13" i="3"/>
  <c r="M13" i="3"/>
  <c r="M61" i="3"/>
  <c r="K61" i="3"/>
  <c r="M109" i="3"/>
  <c r="K109" i="3"/>
  <c r="M157" i="3"/>
  <c r="K157" i="3"/>
  <c r="M205" i="3"/>
  <c r="K205" i="3"/>
  <c r="M253" i="3"/>
  <c r="K253" i="3"/>
  <c r="M301" i="3"/>
  <c r="K301" i="3"/>
  <c r="M18" i="3"/>
  <c r="K18" i="3"/>
  <c r="M66" i="3"/>
  <c r="K66" i="3"/>
  <c r="M114" i="3"/>
  <c r="K114" i="3"/>
  <c r="M162" i="3"/>
  <c r="K162" i="3"/>
  <c r="M210" i="3"/>
  <c r="K210" i="3"/>
  <c r="M258" i="3"/>
  <c r="K258" i="3"/>
  <c r="M306" i="3"/>
  <c r="K306" i="3"/>
  <c r="K203" i="3"/>
  <c r="M203" i="3"/>
  <c r="K127" i="3"/>
  <c r="M127" i="3"/>
  <c r="K219" i="3"/>
  <c r="M2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<sst xmlns="http://schemas.openxmlformats.org/spreadsheetml/2006/main" count="376" uniqueCount="237">
  <si>
    <t>WHAT CHANGED?</t>
  </si>
  <si>
    <t>DRAG COEFFICIENT PER AIRBRAKE</t>
  </si>
  <si>
    <t>The reference area for drag coefficient calculation was changed to the cross-section area of the rocket.</t>
  </si>
  <si>
    <t xml:space="preserve">Air Density </t>
  </si>
  <si>
    <t>290-340m</t>
  </si>
  <si>
    <t>Cross section dia is 83.8mm</t>
  </si>
  <si>
    <t>Flow Speed/Deployment</t>
  </si>
  <si>
    <t>Reference area is</t>
  </si>
  <si>
    <t>m2</t>
  </si>
  <si>
    <t>Assuming the open rocket drag coefficient values use the same reference area, we can sum them together to get overall drag coeff.</t>
  </si>
  <si>
    <t>Total Drag coeff</t>
  </si>
  <si>
    <t>3*drag coeff per airbrake + full rocket body drag</t>
  </si>
  <si>
    <t>340-390m</t>
  </si>
  <si>
    <t>390-440m</t>
  </si>
  <si>
    <t>Triangle Height</t>
  </si>
  <si>
    <t>440-490m</t>
  </si>
  <si>
    <t>490-515m</t>
  </si>
  <si>
    <t>Atitude (Sealevel)</t>
  </si>
  <si>
    <t>Atitude (AGL)</t>
  </si>
  <si>
    <t>Vertical Velocity (m/s)</t>
  </si>
  <si>
    <t>Drag Coefficient</t>
  </si>
  <si>
    <t>Orini Launch Site AGL</t>
  </si>
  <si>
    <t>m</t>
  </si>
  <si>
    <t>Making Cd use rocket body tube cross section area as reference area</t>
  </si>
  <si>
    <t>Cross section diameter of test rocket is: 83.8mm. Aref = 0.25 * pi * (83.8)^2</t>
  </si>
  <si>
    <t>AREF</t>
  </si>
  <si>
    <t>mm2</t>
  </si>
  <si>
    <t>Single Airbrake</t>
  </si>
  <si>
    <t>All 3 combined</t>
  </si>
  <si>
    <t>Sim</t>
  </si>
  <si>
    <t>TRheight [m]</t>
  </si>
  <si>
    <t>Deployment %</t>
  </si>
  <si>
    <t>P7 - massflowinput [kg s^-1]</t>
  </si>
  <si>
    <t>P8 - airdensity [kg m^-3]</t>
  </si>
  <si>
    <t>P9 - CdFront OLD</t>
  </si>
  <si>
    <t>P13 - dragForceTOTAL [N]</t>
  </si>
  <si>
    <t>P16 - areaAveVelocity winletBC [m s^-1]</t>
  </si>
  <si>
    <t>% of new/old</t>
  </si>
  <si>
    <t>Cd Corrected</t>
  </si>
  <si>
    <t>Times by 3</t>
  </si>
  <si>
    <t>DP 0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</si>
  <si>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</si>
  <si>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</si>
  <si>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</si>
  <si>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</si>
  <si>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</si>
  <si>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</si>
  <si>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</si>
  <si>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</si>
  <si>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</si>
  <si>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</si>
  <si>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</si>
  <si>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</si>
  <si>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</si>
  <si>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</si>
  <si>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</si>
  <si>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</si>
  <si>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</si>
  <si>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</si>
  <si>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</si>
  <si>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</si>
  <si>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</si>
  <si>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</si>
  <si>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</si>
  <si>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</si>
  <si>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</si>
  <si>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</si>
  <si>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</si>
  <si>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</si>
  <si>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</si>
  <si>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</si>
  <si>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</si>
  <si>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</si>
  <si>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</si>
  <si>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</si>
  <si>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</si>
  <si>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</si>
  <si>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</si>
  <si>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</si>
  <si>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</si>
  <si>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</si>
  <si>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</si>
  <si>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</si>
  <si>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</si>
  <si>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</si>
  <si>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</si>
  <si>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</si>
  <si>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</si>
  <si>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</si>
  <si>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</si>
  <si>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</si>
  <si>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</si>
  <si>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</si>
  <si>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</si>
  <si>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</si>
  <si>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</si>
  <si>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</si>
  <si>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</si>
  <si>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</si>
  <si>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</si>
  <si>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</si>
  <si>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</si>
  <si>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</si>
  <si>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</si>
  <si>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</si>
  <si>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</si>
  <si>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</si>
  <si>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</si>
  <si>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</si>
  <si>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</si>
  <si>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</si>
  <si>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</si>
  <si>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</si>
  <si>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</si>
  <si>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</si>
  <si>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</si>
  <si>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</si>
  <si>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</si>
  <si>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</si>
  <si>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</si>
  <si>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</si>
  <si>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</si>
  <si>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</si>
  <si>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</si>
  <si>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</si>
  <si>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</si>
  <si>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</si>
  <si>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</si>
  <si>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</si>
  <si>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</si>
  <si>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</si>
  <si>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</si>
  <si>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</si>
  <si>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</si>
  <si>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</si>
  <si>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</si>
  <si>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</si>
  <si>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</si>
  <si>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</si>
  <si>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</si>
  <si>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</si>
  <si>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</si>
  <si>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</si>
  <si>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</si>
  <si>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</si>
  <si>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</si>
  <si>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</si>
  <si>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</si>
  <si>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</si>
  <si>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</si>
  <si>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</si>
  <si>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</si>
  <si>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</si>
  <si>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</si>
  <si>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</si>
  <si>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</si>
  <si>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</si>
  <si>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</si>
  <si>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</si>
  <si>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</si>
  <si>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</si>
  <si>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</si>
  <si>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</si>
  <si>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</si>
  <si>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</si>
  <si>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</si>
  <si>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</si>
  <si>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</si>
  <si>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</si>
  <si>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</si>
  <si>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</si>
  <si>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</si>
  <si>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</si>
  <si>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</si>
  <si>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</si>
  <si>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</si>
  <si>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</si>
  <si>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</si>
  <si>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</si>
  <si>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</si>
  <si>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</si>
  <si>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</si>
  <si>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</si>
  <si>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</si>
  <si>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</si>
  <si>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</si>
  <si>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</si>
  <si>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</si>
  <si>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</si>
  <si>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</si>
  <si>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</si>
  <si>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</si>
  <si>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</si>
  <si>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</si>
  <si>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</si>
  <si>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</si>
  <si>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</si>
  <si>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</si>
  <si>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</si>
  <si>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</si>
  <si>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</si>
  <si>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</si>
  <si>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</si>
  <si>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</si>
  <si>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0 (Current)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</si>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</sst>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3" borderId="1" xfId="0" applyFill="1" applyBorder="1"/>
    <xf numFmtId="0" fontId="1" fillId="4" borderId="0" xfId="0" applyFont="1" applyFill="1"/>
    <xf numFmtId="9" fontId="1" fillId="4" borderId="0" xfId="0" applyNumberFormat="1" applyFont="1" applyFill="1"/>
    <xf numFmtId="0" fontId="0" fillId="4" borderId="0" xfId="0" applyFill="1"/>
    <xf numFmtId="0" fontId="0" fillId="2" borderId="0" xfId="0" applyFill="1"/>
    <xf numFmtId="0" fontId="0" fillId="5" borderId="1" xfId="0" applyFill="1" applyBorder="1"/>
    <xf numFmtId="0" fontId="0" fillId="6" borderId="1" xfId="0" applyFill="1" applyBorder="1"/>
    <xf numFmtId="0" fontId="1" fillId="0" borderId="0" xfId="0" applyFont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9" fontId="1" fillId="2" borderId="0" xfId="0" applyNumberFormat="1" applyFont="1" applyFill="1"/>
    <xf numFmtId="0" fontId="0" fillId="10" borderId="1" xfId="0" applyFill="1" applyBorder="1"/>
    <xf numFmtId="0" fontId="0" fillId="9" borderId="2" xfId="0" applyFill="1" applyBorder="1"/>
    <xf numFmtId="0" fontId="1" fillId="11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9" borderId="0" xfId="0" applyFill="1"/>
    <xf numFmtId="0" fontId="4" fillId="0" borderId="0" xfId="0" applyFont="1"/>
    <xf numFmtId="0" fontId="0" fillId="8" borderId="0" xfId="0" applyFill="1"/>
    <xf numFmtId="9" fontId="0" fillId="0" borderId="0" xfId="0" applyNumberFormat="1"/>
    <xf numFmtId="11" fontId="0" fillId="0" borderId="0" xfId="0" applyNumberForma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4</xdr:row>
      <xdr:rowOff>142875</xdr:rowOff>
    </xdr:from>
    <xdr:to>
      <xdr:col>10</xdr:col>
      <xdr:colOff>79375</xdr:colOff>
      <xdr:row>19</xdr:row>
      <xdr:rowOff>95250</xdr:rowOff>
    </xdr:to>
    <xdr:pic>
      <xdr:nvPicPr>
        <xdr:cNvPr id="2" name="Picture 1" descr="Drag Coefficient - Drag Characteristics | Definition | nuclear-power.com">
          <a:extLst>
            <a:ext uri="{FF2B5EF4-FFF2-40B4-BE49-F238E27FC236}">
              <a16:creationId xmlns:a16="http://schemas.microsoft.com/office/drawing/2014/main" id="{98D75F4F-3FC4-4070-A99F-EB8A38D96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1190625"/>
          <a:ext cx="2355850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6</xdr:row>
      <xdr:rowOff>114300</xdr:rowOff>
    </xdr:from>
    <xdr:to>
      <xdr:col>3</xdr:col>
      <xdr:colOff>161925</xdr:colOff>
      <xdr:row>22</xdr:row>
      <xdr:rowOff>66675</xdr:rowOff>
    </xdr:to>
    <xdr:pic>
      <xdr:nvPicPr>
        <xdr:cNvPr id="2" name="Picture 1" descr="Drag Coefficient - Drag Characteristics | Definition | nuclear-power.com">
          <a:extLst>
            <a:ext uri="{FF2B5EF4-FFF2-40B4-BE49-F238E27FC236}">
              <a16:creationId xmlns:a16="http://schemas.microsoft.com/office/drawing/2014/main" id="{E54BA1FF-C7F2-4F65-9B8B-7009800B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495425"/>
          <a:ext cx="2800350" cy="30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aghav%20Batra/Downloads/rocketry%20club/CFD%20Simulations%20Updated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"/>
      <sheetName val="Area Calcs"/>
      <sheetName val="MASS FLOW RATE AIRBRAKE"/>
      <sheetName val="MASS FLOW RATE ROCKET"/>
      <sheetName val="10%"/>
      <sheetName val="RAW RESULT WRONG"/>
      <sheetName val="NEW RAW RESULT"/>
      <sheetName val="RESULT WRONG"/>
      <sheetName val="RESULT CORRECT AIRBRAKE"/>
      <sheetName val="RESULT ROCKET"/>
      <sheetName val="Summary"/>
    </sheetNames>
    <sheetDataSet>
      <sheetData sheetId="0"/>
      <sheetData sheetId="1">
        <row r="2">
          <cell r="L2">
            <v>23.965099315068489</v>
          </cell>
        </row>
        <row r="3">
          <cell r="L3">
            <v>21.682925880626218</v>
          </cell>
        </row>
        <row r="4">
          <cell r="L4">
            <v>19.400752446183951</v>
          </cell>
        </row>
        <row r="5">
          <cell r="L5">
            <v>17.11857901174168</v>
          </cell>
        </row>
        <row r="6">
          <cell r="L6">
            <v>14.836405577299409</v>
          </cell>
        </row>
        <row r="7">
          <cell r="L7">
            <v>12.554232142857144</v>
          </cell>
        </row>
        <row r="8">
          <cell r="L8">
            <v>10.272058708414871</v>
          </cell>
        </row>
        <row r="9">
          <cell r="L9">
            <v>7.9898852739726003</v>
          </cell>
        </row>
        <row r="10">
          <cell r="L10">
            <v>5.707711839530333</v>
          </cell>
        </row>
        <row r="12">
          <cell r="L12">
            <v>3.6</v>
          </cell>
        </row>
      </sheetData>
      <sheetData sheetId="2">
        <row r="8">
          <cell r="N8" t="str">
            <v>Run 1 Output Table</v>
          </cell>
        </row>
        <row r="9">
          <cell r="N9" t="str">
            <v>Flow Velocities (m/s)</v>
          </cell>
          <cell r="O9">
            <v>55</v>
          </cell>
          <cell r="P9">
            <v>63.333333333333336</v>
          </cell>
          <cell r="Q9">
            <v>71.666666666666671</v>
          </cell>
          <cell r="R9">
            <v>80</v>
          </cell>
        </row>
        <row r="10">
          <cell r="N10" t="str">
            <v>Mass Flow Rate (kg/s)</v>
          </cell>
          <cell r="O10">
            <v>0.93302176000000003</v>
          </cell>
          <cell r="P10">
            <v>1.0743886933333333</v>
          </cell>
          <cell r="Q10">
            <v>1.2157556266666667</v>
          </cell>
          <cell r="R10">
            <v>1.3571225600000001</v>
          </cell>
        </row>
        <row r="11">
          <cell r="N11" t="str">
            <v>Drag Coeffient</v>
          </cell>
        </row>
        <row r="13">
          <cell r="N13" t="str">
            <v>Run 2 Output Table</v>
          </cell>
        </row>
        <row r="14">
          <cell r="N14" t="str">
            <v>Flow Velocities (m/s)</v>
          </cell>
          <cell r="O14">
            <v>45</v>
          </cell>
          <cell r="P14">
            <v>51.666666666666664</v>
          </cell>
          <cell r="Q14">
            <v>58.333333333333329</v>
          </cell>
          <cell r="R14">
            <v>65</v>
          </cell>
        </row>
        <row r="15">
          <cell r="N15" t="str">
            <v>Mass Flow Rate (kg/s)</v>
          </cell>
          <cell r="O15">
            <v>0.75945996000000004</v>
          </cell>
          <cell r="P15">
            <v>0.87197254666666657</v>
          </cell>
          <cell r="Q15">
            <v>0.9844851333333331</v>
          </cell>
          <cell r="R15">
            <v>1.0969977200000001</v>
          </cell>
        </row>
        <row r="16">
          <cell r="N16" t="str">
            <v>Drag Coeffient</v>
          </cell>
        </row>
        <row r="18">
          <cell r="N18" t="str">
            <v>Run 3 Output Table</v>
          </cell>
        </row>
        <row r="19">
          <cell r="N19" t="str">
            <v>Flow Velocities (m/s)</v>
          </cell>
          <cell r="O19">
            <v>35</v>
          </cell>
          <cell r="P19">
            <v>39</v>
          </cell>
          <cell r="Q19">
            <v>43</v>
          </cell>
          <cell r="R19">
            <v>47</v>
          </cell>
          <cell r="S19">
            <v>51</v>
          </cell>
          <cell r="T19">
            <v>55</v>
          </cell>
        </row>
        <row r="20">
          <cell r="N20" t="str">
            <v>Mass Flow Rate (kg/s)</v>
          </cell>
          <cell r="O20">
            <v>0.58764103999999995</v>
          </cell>
          <cell r="P20">
            <v>0.65480001599999993</v>
          </cell>
          <cell r="Q20">
            <v>0.72195899200000002</v>
          </cell>
          <cell r="R20">
            <v>0.78911796799999989</v>
          </cell>
          <cell r="S20">
            <v>0.85627694399999998</v>
          </cell>
          <cell r="T20">
            <v>0.92343591999999997</v>
          </cell>
        </row>
        <row r="21">
          <cell r="N21" t="str">
            <v>Drag Coeffient</v>
          </cell>
        </row>
        <row r="23">
          <cell r="N23" t="str">
            <v>Run 4 Output Table</v>
          </cell>
        </row>
        <row r="24">
          <cell r="N24" t="str">
            <v>Flow Velocities (m/s)</v>
          </cell>
          <cell r="O24">
            <v>15</v>
          </cell>
          <cell r="P24">
            <v>19.285714285714285</v>
          </cell>
          <cell r="Q24">
            <v>23.571428571428569</v>
          </cell>
          <cell r="R24">
            <v>27.857142857142854</v>
          </cell>
          <cell r="S24">
            <v>32.142857142857139</v>
          </cell>
          <cell r="T24">
            <v>36.428571428571423</v>
          </cell>
          <cell r="U24">
            <v>40.714285714285708</v>
          </cell>
          <cell r="V24">
            <v>44.999999999999993</v>
          </cell>
        </row>
        <row r="25">
          <cell r="N25" t="str">
            <v>Mass Flow Rate (kg/s)</v>
          </cell>
          <cell r="O25">
            <v>0.25053900000000001</v>
          </cell>
          <cell r="P25">
            <v>0.3221215714285714</v>
          </cell>
          <cell r="Q25">
            <v>0.39370414285714284</v>
          </cell>
          <cell r="R25">
            <v>0.46528671428571416</v>
          </cell>
          <cell r="S25">
            <v>0.5368692857142856</v>
          </cell>
          <cell r="T25">
            <v>0.60845185714285699</v>
          </cell>
          <cell r="U25">
            <v>0.68003442857142848</v>
          </cell>
          <cell r="V25">
            <v>0.75161699999999987</v>
          </cell>
        </row>
        <row r="26">
          <cell r="N26" t="str">
            <v>Drag Coeffient</v>
          </cell>
        </row>
        <row r="28">
          <cell r="N28" t="str">
            <v>Run 5 Output Table</v>
          </cell>
        </row>
        <row r="29">
          <cell r="N29" t="str">
            <v>Flow Velocities (m/s)</v>
          </cell>
          <cell r="O29">
            <v>0</v>
          </cell>
          <cell r="P29">
            <v>2.2727272727272729</v>
          </cell>
          <cell r="Q29">
            <v>4.5454545454545459</v>
          </cell>
          <cell r="R29">
            <v>6.8181818181818183</v>
          </cell>
          <cell r="S29">
            <v>9.0909090909090917</v>
          </cell>
          <cell r="T29">
            <v>11.363636363636365</v>
          </cell>
          <cell r="U29">
            <v>13.636363636363638</v>
          </cell>
          <cell r="V29">
            <v>15.909090909090912</v>
          </cell>
          <cell r="W29">
            <v>18.181818181818183</v>
          </cell>
          <cell r="X29">
            <v>20.454545454545457</v>
          </cell>
          <cell r="Y29">
            <v>22.72727272727273</v>
          </cell>
          <cell r="Z29">
            <v>25.000000000000004</v>
          </cell>
        </row>
        <row r="30">
          <cell r="N30" t="str">
            <v>Mass Flow Rate (kg/s)</v>
          </cell>
          <cell r="O30">
            <v>0</v>
          </cell>
          <cell r="P30">
            <v>3.7795409090909095E-2</v>
          </cell>
          <cell r="Q30">
            <v>7.559081818181819E-2</v>
          </cell>
          <cell r="R30">
            <v>0.11338622727272729</v>
          </cell>
          <cell r="S30">
            <v>0.15118163636363638</v>
          </cell>
          <cell r="T30">
            <v>0.18897704545454549</v>
          </cell>
          <cell r="U30">
            <v>0.22677245454545461</v>
          </cell>
          <cell r="V30">
            <v>0.2645678636363637</v>
          </cell>
          <cell r="W30">
            <v>0.30236327272727276</v>
          </cell>
          <cell r="X30">
            <v>0.34015868181818187</v>
          </cell>
          <cell r="Y30">
            <v>0.37795409090909099</v>
          </cell>
          <cell r="Z30">
            <v>0.41574950000000005</v>
          </cell>
        </row>
        <row r="31">
          <cell r="N31" t="str">
            <v>Drag Coeffient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BA5D-3E7E-4F2C-9778-0568B3C510A2}">
  <dimension ref="A1:N334"/>
  <sheetViews>
    <sheetView workbookViewId="0">
      <selection activeCell="G24" sqref="G24"/>
    </sheetView>
  </sheetViews>
  <sheetFormatPr defaultRowHeight="15" x14ac:dyDescent="0.25"/>
  <cols>
    <col min="1" max="1" width="7.140625" customWidth="1"/>
    <col min="2" max="2" width="12.42578125" bestFit="1" customWidth="1"/>
    <col min="3" max="3" width="14.140625" bestFit="1" customWidth="1"/>
    <col min="4" max="4" width="26.28515625" bestFit="1" customWidth="1"/>
    <col min="5" max="5" width="22.7109375" bestFit="1" customWidth="1"/>
    <col min="6" max="6" width="15.85546875" bestFit="1" customWidth="1"/>
    <col min="7" max="7" width="23.7109375" bestFit="1" customWidth="1"/>
    <col min="8" max="8" width="13.7109375" customWidth="1"/>
    <col min="10" max="10" width="29.85546875" customWidth="1"/>
    <col min="11" max="11" width="12.85546875" bestFit="1" customWidth="1"/>
    <col min="12" max="12" width="14.5703125" bestFit="1" customWidth="1"/>
    <col min="13" max="13" width="14.28515625" bestFit="1" customWidth="1"/>
    <col min="14" max="14" width="14.140625" bestFit="1" customWidth="1"/>
  </cols>
  <sheetData>
    <row r="1" spans="1:14" ht="26.25" x14ac:dyDescent="0.4">
      <c r="A1" s="24" t="s">
        <v>23</v>
      </c>
    </row>
    <row r="2" spans="1:14" ht="26.25" x14ac:dyDescent="0.4">
      <c r="A2" s="24" t="s">
        <v>24</v>
      </c>
    </row>
    <row r="3" spans="1:14" x14ac:dyDescent="0.25">
      <c r="A3" t="s">
        <v>25</v>
      </c>
      <c r="B3">
        <f>0.25*PI()*(83.8^2)</f>
        <v>5515.4114785687761</v>
      </c>
      <c r="C3" t="s">
        <v>26</v>
      </c>
      <c r="D3">
        <f>B3/(1000^2)</f>
        <v>5.5154114785687762E-3</v>
      </c>
      <c r="E3" t="s">
        <v>8</v>
      </c>
      <c r="L3" t="s">
        <v>27</v>
      </c>
      <c r="M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s="25" t="s">
        <v>34</v>
      </c>
      <c r="G4" t="s">
        <v>35</v>
      </c>
      <c r="H4" t="s">
        <v>36</v>
      </c>
      <c r="K4" t="s">
        <v>37</v>
      </c>
      <c r="L4" t="s">
        <v>38</v>
      </c>
      <c r="M4" t="s">
        <v>39</v>
      </c>
      <c r="N4" t="s">
        <v>31</v>
      </c>
    </row>
    <row r="5" spans="1:14" x14ac:dyDescent="0.25">
      <c r="A5" t="s">
        <v>40</v>
      </c>
      <c r="B5">
        <v>3.5999999999999999E-3</v>
      </c>
      <c r="C5" s="26">
        <v>0.1</v>
      </c>
      <c r="D5">
        <v>0.93302176000000003</v>
      </c>
      <c r="E5">
        <v>1.1679999999999999</v>
      </c>
      <c r="F5" s="18">
        <v>0.35092000000000001</v>
      </c>
      <c r="G5">
        <v>4.7231700000000001E-2</v>
      </c>
      <c r="H5">
        <v>-55.000900000000001</v>
      </c>
      <c r="K5">
        <f>(L5/F5)*100</f>
        <v>1.3813225406222069</v>
      </c>
      <c r="L5" s="18">
        <f>G5/($D$3*((E5*H5^2)/2))</f>
        <v>4.8473370595514481E-3</v>
      </c>
      <c r="M5">
        <f>L5*3</f>
        <v>1.4542011178654345E-2</v>
      </c>
      <c r="N5" s="26">
        <v>0.1</v>
      </c>
    </row>
    <row r="6" spans="1:14" x14ac:dyDescent="0.25">
      <c r="A6" t="s">
        <v>41</v>
      </c>
      <c r="B6">
        <v>3.5999999999999999E-3</v>
      </c>
      <c r="C6" s="26">
        <v>0.1</v>
      </c>
      <c r="D6">
        <v>1.074388693</v>
      </c>
      <c r="E6">
        <v>1.1679999999999999</v>
      </c>
      <c r="F6" s="18">
        <v>0.35640699999999997</v>
      </c>
      <c r="G6">
        <v>6.34015E-2</v>
      </c>
      <c r="H6">
        <v>-63.334400000000002</v>
      </c>
      <c r="K6">
        <f t="shared" ref="K6:K69" si="0">(L6/F6)*100</f>
        <v>1.3768391950062386</v>
      </c>
      <c r="L6" s="18">
        <f t="shared" ref="L6:L69" si="1">G6/($D$3*((E6*H6^2)/2))</f>
        <v>4.9071512697458847E-3</v>
      </c>
      <c r="M6">
        <f t="shared" ref="M6:M69" si="2">L6*3</f>
        <v>1.4721453809237655E-2</v>
      </c>
      <c r="N6" s="26">
        <v>0.1</v>
      </c>
    </row>
    <row r="7" spans="1:14" x14ac:dyDescent="0.25">
      <c r="A7" t="s">
        <v>42</v>
      </c>
      <c r="B7">
        <v>3.5999999999999999E-3</v>
      </c>
      <c r="C7" s="26">
        <v>0.1</v>
      </c>
      <c r="D7">
        <v>1.2157556270000001</v>
      </c>
      <c r="E7">
        <v>1.1679999999999999</v>
      </c>
      <c r="F7" s="18">
        <v>0.36087399999999997</v>
      </c>
      <c r="G7">
        <v>8.1997700000000007E-2</v>
      </c>
      <c r="H7">
        <v>-71.667900000000003</v>
      </c>
      <c r="J7" s="27"/>
      <c r="K7">
        <f t="shared" si="0"/>
        <v>1.3734281785049571</v>
      </c>
      <c r="L7" s="18">
        <f t="shared" si="1"/>
        <v>4.9563452048979788E-3</v>
      </c>
      <c r="M7">
        <f t="shared" si="2"/>
        <v>1.4869035614693937E-2</v>
      </c>
      <c r="N7" s="26">
        <v>0.1</v>
      </c>
    </row>
    <row r="8" spans="1:14" x14ac:dyDescent="0.25">
      <c r="A8" t="s">
        <v>43</v>
      </c>
      <c r="B8">
        <v>3.5999999999999999E-3</v>
      </c>
      <c r="C8" s="26">
        <v>0.1</v>
      </c>
      <c r="D8">
        <v>1.3571225600000001</v>
      </c>
      <c r="E8">
        <v>1.1679999999999999</v>
      </c>
      <c r="F8" s="18">
        <v>0.36462699999999998</v>
      </c>
      <c r="G8">
        <v>0.10303</v>
      </c>
      <c r="H8">
        <v>-80.001400000000004</v>
      </c>
      <c r="J8" s="27"/>
      <c r="K8">
        <f t="shared" si="0"/>
        <v>1.3706574648243919</v>
      </c>
      <c r="L8" s="18">
        <f t="shared" si="1"/>
        <v>4.997787194265235E-3</v>
      </c>
      <c r="M8">
        <f t="shared" si="2"/>
        <v>1.4993361582795704E-2</v>
      </c>
      <c r="N8" s="26">
        <v>0.1</v>
      </c>
    </row>
    <row r="9" spans="1:14" x14ac:dyDescent="0.25">
      <c r="A9" t="s">
        <v>44</v>
      </c>
      <c r="B9">
        <v>3.5999999999999999E-3</v>
      </c>
      <c r="C9" s="26">
        <v>0.1</v>
      </c>
      <c r="D9">
        <v>0.75945996000000004</v>
      </c>
      <c r="E9">
        <v>1.1619999999999999</v>
      </c>
      <c r="F9" s="20">
        <v>0.34201999999999999</v>
      </c>
      <c r="G9">
        <v>3.0804000000000002E-2</v>
      </c>
      <c r="H9">
        <v>-45.000700000000002</v>
      </c>
      <c r="J9" s="27"/>
      <c r="K9">
        <f t="shared" si="0"/>
        <v>1.3879154881894609</v>
      </c>
      <c r="L9" s="20">
        <f t="shared" si="1"/>
        <v>4.7469485527055939E-3</v>
      </c>
      <c r="M9">
        <f t="shared" si="2"/>
        <v>1.4240845658116782E-2</v>
      </c>
      <c r="N9" s="26">
        <v>0.1</v>
      </c>
    </row>
    <row r="10" spans="1:14" x14ac:dyDescent="0.25">
      <c r="A10" t="s">
        <v>45</v>
      </c>
      <c r="B10">
        <v>3.5999999999999999E-3</v>
      </c>
      <c r="C10" s="26">
        <v>0.1</v>
      </c>
      <c r="D10">
        <v>0.87197254700000004</v>
      </c>
      <c r="E10">
        <v>1.1619999999999999</v>
      </c>
      <c r="F10" s="20">
        <v>0.34812300000000002</v>
      </c>
      <c r="G10">
        <v>4.1196900000000002E-2</v>
      </c>
      <c r="H10">
        <v>-51.667499999999997</v>
      </c>
      <c r="J10" s="27"/>
      <c r="K10">
        <f t="shared" si="0"/>
        <v>1.3833843954604637</v>
      </c>
      <c r="L10" s="20">
        <f t="shared" si="1"/>
        <v>4.8158792590088303E-3</v>
      </c>
      <c r="M10">
        <f t="shared" si="2"/>
        <v>1.4447637777026491E-2</v>
      </c>
      <c r="N10" s="26">
        <v>0.1</v>
      </c>
    </row>
    <row r="11" spans="1:14" x14ac:dyDescent="0.25">
      <c r="A11" t="s">
        <v>46</v>
      </c>
      <c r="B11">
        <v>3.5999999999999999E-3</v>
      </c>
      <c r="C11" s="26">
        <v>0.1</v>
      </c>
      <c r="D11">
        <v>0.98448513299999996</v>
      </c>
      <c r="E11">
        <v>1.1619999999999999</v>
      </c>
      <c r="F11" s="20">
        <v>0.35305900000000001</v>
      </c>
      <c r="G11">
        <v>5.3111499999999999E-2</v>
      </c>
      <c r="H11">
        <v>-58.334299999999999</v>
      </c>
      <c r="J11" s="27"/>
      <c r="K11">
        <f t="shared" si="0"/>
        <v>1.3795557248350658</v>
      </c>
      <c r="L11" s="20">
        <f t="shared" si="1"/>
        <v>4.8706456465454351E-3</v>
      </c>
      <c r="M11">
        <f t="shared" si="2"/>
        <v>1.4611936939636305E-2</v>
      </c>
      <c r="N11" s="26">
        <v>0.1</v>
      </c>
    </row>
    <row r="12" spans="1:14" x14ac:dyDescent="0.25">
      <c r="A12" t="s">
        <v>47</v>
      </c>
      <c r="B12">
        <v>3.5999999999999999E-3</v>
      </c>
      <c r="C12" s="26">
        <v>0.1</v>
      </c>
      <c r="D12">
        <v>1.0969977200000001</v>
      </c>
      <c r="E12">
        <v>1.1619999999999999</v>
      </c>
      <c r="F12" s="20">
        <v>0.35718</v>
      </c>
      <c r="G12">
        <v>6.6554199999999994E-2</v>
      </c>
      <c r="H12">
        <v>-65.001099999999994</v>
      </c>
      <c r="J12" s="27"/>
      <c r="K12">
        <f t="shared" si="0"/>
        <v>1.3762358640076806</v>
      </c>
      <c r="L12" s="20">
        <f t="shared" si="1"/>
        <v>4.9156392590626336E-3</v>
      </c>
      <c r="M12">
        <f t="shared" si="2"/>
        <v>1.4746917777187901E-2</v>
      </c>
      <c r="N12" s="26">
        <v>0.1</v>
      </c>
    </row>
    <row r="13" spans="1:14" x14ac:dyDescent="0.25">
      <c r="A13" t="s">
        <v>48</v>
      </c>
      <c r="B13">
        <v>3.5999999999999999E-3</v>
      </c>
      <c r="C13" s="26">
        <v>0.1</v>
      </c>
      <c r="D13">
        <v>0.58764103999999995</v>
      </c>
      <c r="E13">
        <v>1.1559999999999999</v>
      </c>
      <c r="F13" s="21">
        <v>0.32913100000000001</v>
      </c>
      <c r="G13">
        <v>1.7984199999999999E-2</v>
      </c>
      <c r="H13">
        <v>-35.000500000000002</v>
      </c>
      <c r="J13" s="27"/>
      <c r="K13">
        <f t="shared" si="0"/>
        <v>1.3991622535503381</v>
      </c>
      <c r="L13" s="21">
        <f t="shared" si="1"/>
        <v>4.605076716732763E-3</v>
      </c>
      <c r="M13">
        <f t="shared" si="2"/>
        <v>1.3815230150198289E-2</v>
      </c>
      <c r="N13" s="26">
        <v>0.1</v>
      </c>
    </row>
    <row r="14" spans="1:14" x14ac:dyDescent="0.25">
      <c r="A14" t="s">
        <v>49</v>
      </c>
      <c r="B14">
        <v>3.5999999999999999E-3</v>
      </c>
      <c r="C14" s="26">
        <v>0.1</v>
      </c>
      <c r="D14">
        <v>0.65480001600000004</v>
      </c>
      <c r="E14">
        <v>1.1559999999999999</v>
      </c>
      <c r="F14" s="21">
        <v>0.33481</v>
      </c>
      <c r="G14">
        <v>2.2630299999999999E-2</v>
      </c>
      <c r="H14">
        <v>-39.000599999999999</v>
      </c>
      <c r="J14" s="27"/>
      <c r="K14">
        <f t="shared" si="0"/>
        <v>1.393938317580858</v>
      </c>
      <c r="L14" s="21">
        <f t="shared" si="1"/>
        <v>4.6670448810924702E-3</v>
      </c>
      <c r="M14">
        <f t="shared" si="2"/>
        <v>1.4001134643277411E-2</v>
      </c>
      <c r="N14" s="26">
        <v>0.1</v>
      </c>
    </row>
    <row r="15" spans="1:14" x14ac:dyDescent="0.25">
      <c r="A15" t="s">
        <v>50</v>
      </c>
      <c r="B15">
        <v>3.5999999999999999E-3</v>
      </c>
      <c r="C15" s="26">
        <v>0.1</v>
      </c>
      <c r="D15">
        <v>0.72195899200000002</v>
      </c>
      <c r="E15">
        <v>1.1559999999999999</v>
      </c>
      <c r="F15" s="21">
        <v>0.33963700000000002</v>
      </c>
      <c r="G15">
        <v>2.78243E-2</v>
      </c>
      <c r="H15">
        <v>-43.000700000000002</v>
      </c>
      <c r="K15">
        <f t="shared" si="0"/>
        <v>1.3898004347280828</v>
      </c>
      <c r="L15" s="21">
        <f t="shared" si="1"/>
        <v>4.7202765024974185E-3</v>
      </c>
      <c r="M15">
        <f t="shared" si="2"/>
        <v>1.4160829507492256E-2</v>
      </c>
      <c r="N15" s="26">
        <v>0.1</v>
      </c>
    </row>
    <row r="16" spans="1:14" x14ac:dyDescent="0.25">
      <c r="A16" t="s">
        <v>51</v>
      </c>
      <c r="B16">
        <v>3.5999999999999999E-3</v>
      </c>
      <c r="C16" s="26">
        <v>0.1</v>
      </c>
      <c r="D16">
        <v>0.789117968</v>
      </c>
      <c r="E16">
        <v>1.1559999999999999</v>
      </c>
      <c r="F16" s="21">
        <v>0.34376299999999999</v>
      </c>
      <c r="G16">
        <v>3.35692E-2</v>
      </c>
      <c r="H16">
        <v>-47.000799999999998</v>
      </c>
      <c r="J16" s="27"/>
      <c r="K16">
        <f t="shared" si="0"/>
        <v>1.3866460009488446</v>
      </c>
      <c r="L16" s="21">
        <f t="shared" si="1"/>
        <v>4.7667758922417761E-3</v>
      </c>
      <c r="M16">
        <f t="shared" si="2"/>
        <v>1.4300327676725328E-2</v>
      </c>
      <c r="N16" s="26">
        <v>0.1</v>
      </c>
    </row>
    <row r="17" spans="1:14" x14ac:dyDescent="0.25">
      <c r="A17" t="s">
        <v>52</v>
      </c>
      <c r="B17">
        <v>3.5999999999999999E-3</v>
      </c>
      <c r="C17" s="26">
        <v>0.1</v>
      </c>
      <c r="D17">
        <v>0.85627694399999998</v>
      </c>
      <c r="E17">
        <v>1.1559999999999999</v>
      </c>
      <c r="F17" s="21">
        <v>0.34734900000000002</v>
      </c>
      <c r="G17">
        <v>3.986E-2</v>
      </c>
      <c r="H17">
        <v>-51.000799999999998</v>
      </c>
      <c r="J17" s="27"/>
      <c r="K17">
        <f t="shared" si="0"/>
        <v>1.3839216625577828</v>
      </c>
      <c r="L17" s="21">
        <f t="shared" si="1"/>
        <v>4.8070380556778335E-3</v>
      </c>
      <c r="M17">
        <f t="shared" si="2"/>
        <v>1.44211141670335E-2</v>
      </c>
      <c r="N17" s="26">
        <v>0.1</v>
      </c>
    </row>
    <row r="18" spans="1:14" x14ac:dyDescent="0.25">
      <c r="A18" t="s">
        <v>53</v>
      </c>
      <c r="B18">
        <v>3.5999999999999999E-3</v>
      </c>
      <c r="C18" s="26">
        <v>0.1</v>
      </c>
      <c r="D18">
        <v>0.92343591999999997</v>
      </c>
      <c r="E18">
        <v>1.1559999999999999</v>
      </c>
      <c r="F18" s="21">
        <v>0.35050199999999998</v>
      </c>
      <c r="G18">
        <v>4.6700899999999997E-2</v>
      </c>
      <c r="H18">
        <v>-55.000900000000001</v>
      </c>
      <c r="J18" s="27"/>
      <c r="K18">
        <f t="shared" si="0"/>
        <v>1.3816225107049289</v>
      </c>
      <c r="L18" s="21">
        <f t="shared" si="1"/>
        <v>4.8426145324709895E-3</v>
      </c>
      <c r="M18">
        <f t="shared" si="2"/>
        <v>1.4527843597412968E-2</v>
      </c>
      <c r="N18" s="26">
        <v>0.1</v>
      </c>
    </row>
    <row r="19" spans="1:14" x14ac:dyDescent="0.25">
      <c r="A19" t="s">
        <v>54</v>
      </c>
      <c r="B19">
        <v>3.5999999999999999E-3</v>
      </c>
      <c r="C19" s="26">
        <v>0.1</v>
      </c>
      <c r="D19">
        <v>0.25053900000000001</v>
      </c>
      <c r="E19">
        <v>1.1499999999999999</v>
      </c>
      <c r="F19" s="25">
        <v>0.27117999999999998</v>
      </c>
      <c r="G19">
        <v>2.7977800000000001E-3</v>
      </c>
      <c r="H19">
        <v>-15.0001</v>
      </c>
      <c r="J19" s="27"/>
      <c r="K19">
        <f t="shared" si="0"/>
        <v>1.4458453176931856</v>
      </c>
      <c r="L19" s="25">
        <f t="shared" si="1"/>
        <v>3.9208433325203804E-3</v>
      </c>
      <c r="M19">
        <f t="shared" si="2"/>
        <v>1.1762529997561142E-2</v>
      </c>
      <c r="N19" s="26">
        <v>0.1</v>
      </c>
    </row>
    <row r="20" spans="1:14" x14ac:dyDescent="0.25">
      <c r="A20" t="s">
        <v>55</v>
      </c>
      <c r="B20">
        <v>3.5999999999999999E-3</v>
      </c>
      <c r="C20" s="26">
        <v>0.1</v>
      </c>
      <c r="D20">
        <v>0.322121571</v>
      </c>
      <c r="E20">
        <v>1.1499999999999999</v>
      </c>
      <c r="F20" s="25">
        <v>0.288462</v>
      </c>
      <c r="G20">
        <v>4.8502700000000003E-3</v>
      </c>
      <c r="H20">
        <v>-19.285900000000002</v>
      </c>
      <c r="J20" s="27"/>
      <c r="K20">
        <f t="shared" si="0"/>
        <v>1.4254491207211757</v>
      </c>
      <c r="L20" s="25">
        <f t="shared" si="1"/>
        <v>4.1118790426147179E-3</v>
      </c>
      <c r="M20">
        <f t="shared" si="2"/>
        <v>1.2335637127844154E-2</v>
      </c>
      <c r="N20" s="26">
        <v>0.1</v>
      </c>
    </row>
    <row r="21" spans="1:14" x14ac:dyDescent="0.25">
      <c r="A21" t="s">
        <v>56</v>
      </c>
      <c r="B21">
        <v>3.5999999999999999E-3</v>
      </c>
      <c r="C21" s="26">
        <v>0.1</v>
      </c>
      <c r="D21">
        <v>0.39370414300000001</v>
      </c>
      <c r="E21">
        <v>1.1499999999999999</v>
      </c>
      <c r="F21" s="25">
        <v>0.30498399999999998</v>
      </c>
      <c r="G21">
        <v>7.6427600000000002E-3</v>
      </c>
      <c r="H21">
        <v>-23.5717</v>
      </c>
      <c r="J21" s="27"/>
      <c r="K21">
        <f t="shared" si="0"/>
        <v>1.4221506112276321</v>
      </c>
      <c r="L21" s="25">
        <f t="shared" si="1"/>
        <v>4.3373318201464809E-3</v>
      </c>
      <c r="M21">
        <f t="shared" si="2"/>
        <v>1.3011995460439442E-2</v>
      </c>
      <c r="N21" s="26">
        <v>0.1</v>
      </c>
    </row>
    <row r="22" spans="1:14" x14ac:dyDescent="0.25">
      <c r="A22" t="s">
        <v>57</v>
      </c>
      <c r="B22">
        <v>3.5999999999999999E-3</v>
      </c>
      <c r="C22" s="26">
        <v>0.1</v>
      </c>
      <c r="D22">
        <v>0.46528671399999999</v>
      </c>
      <c r="E22">
        <v>1.1499999999999999</v>
      </c>
      <c r="F22" s="25">
        <v>0.31565199999999999</v>
      </c>
      <c r="G22">
        <v>1.09669E-2</v>
      </c>
      <c r="H22">
        <v>-27.857500000000002</v>
      </c>
      <c r="J22" s="27"/>
      <c r="K22">
        <f t="shared" si="0"/>
        <v>1.4117093669325704</v>
      </c>
      <c r="L22" s="25">
        <f t="shared" si="1"/>
        <v>4.4560888509099974E-3</v>
      </c>
      <c r="M22">
        <f t="shared" si="2"/>
        <v>1.3368266552729992E-2</v>
      </c>
      <c r="N22" s="26">
        <v>0.1</v>
      </c>
    </row>
    <row r="23" spans="1:14" x14ac:dyDescent="0.25">
      <c r="A23" t="s">
        <v>58</v>
      </c>
      <c r="B23">
        <v>3.5999999999999999E-3</v>
      </c>
      <c r="C23" s="26">
        <v>0.1</v>
      </c>
      <c r="D23">
        <v>0.53686928599999995</v>
      </c>
      <c r="E23">
        <v>1.1499999999999999</v>
      </c>
      <c r="F23" s="25">
        <v>0.32411099999999998</v>
      </c>
      <c r="G23">
        <v>1.49079E-2</v>
      </c>
      <c r="H23">
        <v>-32.143300000000004</v>
      </c>
      <c r="J23" s="27"/>
      <c r="K23">
        <f t="shared" si="0"/>
        <v>1.4037701829400877</v>
      </c>
      <c r="L23" s="25">
        <f t="shared" si="1"/>
        <v>4.5497735776289473E-3</v>
      </c>
      <c r="M23">
        <f t="shared" si="2"/>
        <v>1.3649320732886841E-2</v>
      </c>
      <c r="N23" s="26">
        <v>0.1</v>
      </c>
    </row>
    <row r="24" spans="1:14" x14ac:dyDescent="0.25">
      <c r="A24" t="s">
        <v>59</v>
      </c>
      <c r="B24">
        <v>3.5999999999999999E-3</v>
      </c>
      <c r="C24" s="26">
        <v>0.1</v>
      </c>
      <c r="D24">
        <v>0.60845185700000004</v>
      </c>
      <c r="E24">
        <v>1.1499999999999999</v>
      </c>
      <c r="F24" s="25">
        <v>0.33099299999999998</v>
      </c>
      <c r="G24">
        <v>1.9467000000000002E-2</v>
      </c>
      <c r="H24">
        <v>-36.429099999999998</v>
      </c>
      <c r="J24" s="27"/>
      <c r="K24">
        <f t="shared" si="0"/>
        <v>1.3974541655059349</v>
      </c>
      <c r="L24" s="25">
        <f t="shared" si="1"/>
        <v>4.6254754660330589E-3</v>
      </c>
      <c r="M24">
        <f t="shared" si="2"/>
        <v>1.3876426398099176E-2</v>
      </c>
      <c r="N24" s="26">
        <v>0.1</v>
      </c>
    </row>
    <row r="25" spans="1:14" x14ac:dyDescent="0.25">
      <c r="A25" t="s">
        <v>60</v>
      </c>
      <c r="B25">
        <v>3.5999999999999999E-3</v>
      </c>
      <c r="C25" s="26">
        <v>0.1</v>
      </c>
      <c r="D25">
        <v>0.680034429</v>
      </c>
      <c r="E25">
        <v>1.1499999999999999</v>
      </c>
      <c r="F25" s="25">
        <v>0.33671600000000002</v>
      </c>
      <c r="G25">
        <v>2.4645400000000001E-2</v>
      </c>
      <c r="H25">
        <v>-40.7149</v>
      </c>
      <c r="J25" s="27"/>
      <c r="K25">
        <f t="shared" si="0"/>
        <v>1.3922576389056605</v>
      </c>
      <c r="L25" s="25">
        <f t="shared" si="1"/>
        <v>4.6879542314175841E-3</v>
      </c>
      <c r="M25">
        <f t="shared" si="2"/>
        <v>1.4063862694252752E-2</v>
      </c>
      <c r="N25" s="26">
        <v>0.1</v>
      </c>
    </row>
    <row r="26" spans="1:14" x14ac:dyDescent="0.25">
      <c r="A26" t="s">
        <v>61</v>
      </c>
      <c r="B26">
        <v>3.5999999999999999E-3</v>
      </c>
      <c r="C26" s="26">
        <v>0.1</v>
      </c>
      <c r="D26">
        <v>0.75161699999999998</v>
      </c>
      <c r="E26">
        <v>1.1499999999999999</v>
      </c>
      <c r="F26" s="25">
        <v>0.34154000000000001</v>
      </c>
      <c r="G26">
        <v>3.0451099999999998E-2</v>
      </c>
      <c r="H26">
        <v>-45.000700000000002</v>
      </c>
      <c r="J26" s="27"/>
      <c r="K26">
        <f t="shared" si="0"/>
        <v>1.3882801346828846</v>
      </c>
      <c r="L26" s="25">
        <f t="shared" si="1"/>
        <v>4.7415319719959241E-3</v>
      </c>
      <c r="M26">
        <f t="shared" si="2"/>
        <v>1.4224595915987771E-2</v>
      </c>
      <c r="N26" s="26">
        <v>0.1</v>
      </c>
    </row>
    <row r="27" spans="1:14" x14ac:dyDescent="0.25">
      <c r="A27" t="s">
        <v>62</v>
      </c>
      <c r="B27">
        <v>3.5999999999999999E-3</v>
      </c>
      <c r="C27" s="26">
        <v>0.1</v>
      </c>
      <c r="D27">
        <v>3.7795409000000002E-2</v>
      </c>
      <c r="E27">
        <v>1.145</v>
      </c>
      <c r="F27" s="22">
        <v>0.18673799999999999</v>
      </c>
      <c r="G27" s="27">
        <v>4.7192499999999999E-5</v>
      </c>
      <c r="H27">
        <v>-2.2726600000000001</v>
      </c>
      <c r="J27" s="27"/>
      <c r="K27">
        <f t="shared" si="0"/>
        <v>1.5495940327881987</v>
      </c>
      <c r="L27" s="22">
        <f t="shared" si="1"/>
        <v>2.8936809049480263E-3</v>
      </c>
      <c r="M27">
        <f t="shared" si="2"/>
        <v>8.6810427148440797E-3</v>
      </c>
      <c r="N27" s="26">
        <v>0.1</v>
      </c>
    </row>
    <row r="28" spans="1:14" x14ac:dyDescent="0.25">
      <c r="A28" t="s">
        <v>63</v>
      </c>
      <c r="B28">
        <v>3.5999999999999999E-3</v>
      </c>
      <c r="C28" s="26">
        <v>0.1</v>
      </c>
      <c r="D28">
        <v>7.5590818000000004E-2</v>
      </c>
      <c r="E28">
        <v>1.145</v>
      </c>
      <c r="F28" s="22">
        <v>0.213536</v>
      </c>
      <c r="G28">
        <v>2.0633700000000001E-4</v>
      </c>
      <c r="H28">
        <v>-4.5454100000000004</v>
      </c>
      <c r="J28" s="27"/>
      <c r="K28">
        <f t="shared" si="0"/>
        <v>1.4811753401992558</v>
      </c>
      <c r="L28" s="22">
        <f t="shared" si="1"/>
        <v>3.1628425744478828E-3</v>
      </c>
      <c r="M28">
        <f t="shared" si="2"/>
        <v>9.4885277233436489E-3</v>
      </c>
      <c r="N28" s="26">
        <v>0.1</v>
      </c>
    </row>
    <row r="29" spans="1:14" x14ac:dyDescent="0.25">
      <c r="A29" t="s">
        <v>64</v>
      </c>
      <c r="B29">
        <v>3.5999999999999999E-3</v>
      </c>
      <c r="C29" s="26">
        <v>0.1</v>
      </c>
      <c r="D29">
        <v>0.11338622700000001</v>
      </c>
      <c r="E29">
        <v>1.145</v>
      </c>
      <c r="F29" s="22">
        <v>0.22531599999999999</v>
      </c>
      <c r="G29">
        <v>4.8458000000000003E-4</v>
      </c>
      <c r="H29">
        <v>-6.8181799999999999</v>
      </c>
      <c r="J29" s="27"/>
      <c r="K29">
        <f t="shared" si="0"/>
        <v>1.4651534715449828</v>
      </c>
      <c r="L29" s="22">
        <f t="shared" si="1"/>
        <v>3.3012251959462936E-3</v>
      </c>
      <c r="M29">
        <f t="shared" si="2"/>
        <v>9.9036755878388807E-3</v>
      </c>
      <c r="N29" s="26">
        <v>0.1</v>
      </c>
    </row>
    <row r="30" spans="1:14" x14ac:dyDescent="0.25">
      <c r="A30" t="s">
        <v>65</v>
      </c>
      <c r="B30">
        <v>3.5999999999999999E-3</v>
      </c>
      <c r="C30" s="26">
        <v>0.1</v>
      </c>
      <c r="D30">
        <v>0.15118163600000001</v>
      </c>
      <c r="E30">
        <v>1.145</v>
      </c>
      <c r="F30" s="22">
        <v>0.23711299999999999</v>
      </c>
      <c r="G30">
        <v>8.9770300000000002E-4</v>
      </c>
      <c r="H30">
        <v>-9.0909399999999998</v>
      </c>
      <c r="J30" s="27"/>
      <c r="K30">
        <f t="shared" si="0"/>
        <v>1.4507958969988128</v>
      </c>
      <c r="L30" s="22">
        <f t="shared" si="1"/>
        <v>3.4400256752507947E-3</v>
      </c>
      <c r="M30">
        <f t="shared" si="2"/>
        <v>1.0320077025752383E-2</v>
      </c>
      <c r="N30" s="26">
        <v>0.1</v>
      </c>
    </row>
    <row r="31" spans="1:14" x14ac:dyDescent="0.25">
      <c r="A31" t="s">
        <v>66</v>
      </c>
      <c r="B31">
        <v>3.5999999999999999E-3</v>
      </c>
      <c r="C31" s="26">
        <v>0.1</v>
      </c>
      <c r="D31">
        <v>0.18897704500000001</v>
      </c>
      <c r="E31">
        <v>1.145</v>
      </c>
      <c r="F31" s="22">
        <v>0.249722</v>
      </c>
      <c r="G31">
        <v>1.4619399999999999E-3</v>
      </c>
      <c r="H31">
        <v>-11.3637</v>
      </c>
      <c r="J31" s="27"/>
      <c r="K31">
        <f t="shared" si="0"/>
        <v>1.4357532731461635</v>
      </c>
      <c r="L31" s="22">
        <f t="shared" si="1"/>
        <v>3.5853917887660623E-3</v>
      </c>
      <c r="M31">
        <f t="shared" si="2"/>
        <v>1.0756175366298186E-2</v>
      </c>
      <c r="N31" s="26">
        <v>0.1</v>
      </c>
    </row>
    <row r="32" spans="1:14" x14ac:dyDescent="0.25">
      <c r="A32" t="s">
        <v>67</v>
      </c>
      <c r="B32">
        <v>3.5999999999999999E-3</v>
      </c>
      <c r="C32" s="26">
        <v>0.1</v>
      </c>
      <c r="D32">
        <v>0.22677245500000001</v>
      </c>
      <c r="E32">
        <v>1.145</v>
      </c>
      <c r="F32" s="22">
        <v>0.26425500000000002</v>
      </c>
      <c r="G32">
        <v>2.2549699999999998E-3</v>
      </c>
      <c r="H32">
        <v>-13.6365</v>
      </c>
      <c r="J32" s="27"/>
      <c r="K32">
        <f t="shared" si="0"/>
        <v>1.4533101668926156</v>
      </c>
      <c r="L32" s="22">
        <f t="shared" si="1"/>
        <v>3.8404447815220816E-3</v>
      </c>
      <c r="M32">
        <f t="shared" si="2"/>
        <v>1.1521334344566245E-2</v>
      </c>
      <c r="N32" s="26">
        <v>0.1</v>
      </c>
    </row>
    <row r="33" spans="1:14" x14ac:dyDescent="0.25">
      <c r="A33" t="s">
        <v>68</v>
      </c>
      <c r="B33">
        <v>3.5999999999999999E-3</v>
      </c>
      <c r="C33" s="26">
        <v>0.1</v>
      </c>
      <c r="D33">
        <v>0.26456786399999999</v>
      </c>
      <c r="E33">
        <v>1.145</v>
      </c>
      <c r="F33" s="22">
        <v>0.274978</v>
      </c>
      <c r="G33">
        <v>3.16761E-3</v>
      </c>
      <c r="H33">
        <v>-15.9093</v>
      </c>
      <c r="J33" s="27"/>
      <c r="K33">
        <f t="shared" si="0"/>
        <v>1.4413790455799724</v>
      </c>
      <c r="L33" s="22">
        <f t="shared" si="1"/>
        <v>3.9634752719548963E-3</v>
      </c>
      <c r="M33">
        <f t="shared" si="2"/>
        <v>1.1890425815864688E-2</v>
      </c>
      <c r="N33" s="26">
        <v>0.1</v>
      </c>
    </row>
    <row r="34" spans="1:14" x14ac:dyDescent="0.25">
      <c r="A34" t="s">
        <v>69</v>
      </c>
      <c r="B34">
        <v>3.5999999999999999E-3</v>
      </c>
      <c r="C34" s="26">
        <v>0.1</v>
      </c>
      <c r="D34">
        <v>0.30236327299999999</v>
      </c>
      <c r="E34">
        <v>1.145</v>
      </c>
      <c r="F34" s="22">
        <v>0.28413300000000002</v>
      </c>
      <c r="G34">
        <v>4.2425099999999997E-3</v>
      </c>
      <c r="H34">
        <v>-18.181999999999999</v>
      </c>
      <c r="J34" s="27"/>
      <c r="K34">
        <f t="shared" si="0"/>
        <v>1.4304229892742821</v>
      </c>
      <c r="L34" s="22">
        <f t="shared" si="1"/>
        <v>4.0643037521146961E-3</v>
      </c>
      <c r="M34">
        <f t="shared" si="2"/>
        <v>1.2192911256344089E-2</v>
      </c>
      <c r="N34" s="26">
        <v>0.1</v>
      </c>
    </row>
    <row r="35" spans="1:14" x14ac:dyDescent="0.25">
      <c r="A35" t="s">
        <v>70</v>
      </c>
      <c r="B35">
        <v>3.5999999999999999E-3</v>
      </c>
      <c r="C35" s="26">
        <v>0.1</v>
      </c>
      <c r="D35">
        <v>0.34015868199999999</v>
      </c>
      <c r="E35">
        <v>1.145</v>
      </c>
      <c r="F35" s="22">
        <v>0.29210799999999998</v>
      </c>
      <c r="G35">
        <v>5.4836900000000003E-3</v>
      </c>
      <c r="H35">
        <v>-20.454799999999999</v>
      </c>
      <c r="J35" s="27"/>
      <c r="K35">
        <f t="shared" si="0"/>
        <v>1.4209721291495279</v>
      </c>
      <c r="L35" s="22">
        <f t="shared" si="1"/>
        <v>4.1507732670161028E-3</v>
      </c>
      <c r="M35">
        <f t="shared" si="2"/>
        <v>1.2452319801048307E-2</v>
      </c>
      <c r="N35" s="26">
        <v>0.1</v>
      </c>
    </row>
    <row r="36" spans="1:14" x14ac:dyDescent="0.25">
      <c r="A36" t="s">
        <v>71</v>
      </c>
      <c r="B36">
        <v>3.5999999999999999E-3</v>
      </c>
      <c r="C36" s="26">
        <v>0.1</v>
      </c>
      <c r="D36">
        <v>0.37795409099999999</v>
      </c>
      <c r="E36">
        <v>1.145</v>
      </c>
      <c r="F36" s="22">
        <v>0.30227599999999999</v>
      </c>
      <c r="G36">
        <v>7.02486E-3</v>
      </c>
      <c r="H36">
        <v>-22.727599999999999</v>
      </c>
      <c r="J36" s="27"/>
      <c r="K36">
        <f t="shared" si="0"/>
        <v>1.4248640943338708</v>
      </c>
      <c r="L36" s="22">
        <f t="shared" si="1"/>
        <v>4.3070221897886516E-3</v>
      </c>
      <c r="M36">
        <f t="shared" si="2"/>
        <v>1.2921066569365956E-2</v>
      </c>
      <c r="N36" s="26">
        <v>0.1</v>
      </c>
    </row>
    <row r="37" spans="1:14" x14ac:dyDescent="0.25">
      <c r="A37" t="s">
        <v>72</v>
      </c>
      <c r="B37">
        <v>3.5999999999999999E-3</v>
      </c>
      <c r="C37" s="26">
        <v>0.1</v>
      </c>
      <c r="D37">
        <v>0.41574949999999999</v>
      </c>
      <c r="E37">
        <v>1.145</v>
      </c>
      <c r="F37" s="22">
        <v>0.30853700000000001</v>
      </c>
      <c r="G37">
        <v>8.6376999999999999E-3</v>
      </c>
      <c r="H37">
        <v>-25.000299999999999</v>
      </c>
      <c r="J37" s="27"/>
      <c r="K37">
        <f t="shared" si="0"/>
        <v>1.4185577274450978</v>
      </c>
      <c r="L37" s="22">
        <f t="shared" si="1"/>
        <v>4.3767754555272811E-3</v>
      </c>
      <c r="M37">
        <f t="shared" si="2"/>
        <v>1.3130326366581842E-2</v>
      </c>
      <c r="N37" s="26">
        <v>0.1</v>
      </c>
    </row>
    <row r="38" spans="1:14" x14ac:dyDescent="0.25">
      <c r="A38" t="s">
        <v>40</v>
      </c>
      <c r="B38">
        <v>5.7077120000000002E-3</v>
      </c>
      <c r="C38" s="26">
        <v>0.2</v>
      </c>
      <c r="D38">
        <v>0.93302176000000003</v>
      </c>
      <c r="E38">
        <v>1.1679999999999999</v>
      </c>
      <c r="F38" s="18">
        <v>0.36691299999999999</v>
      </c>
      <c r="G38">
        <v>9.9139599999999994E-2</v>
      </c>
      <c r="H38">
        <v>-55.000999999999998</v>
      </c>
      <c r="J38" s="27"/>
      <c r="K38">
        <f t="shared" si="0"/>
        <v>2.7730144061907116</v>
      </c>
      <c r="L38" s="18">
        <f t="shared" si="1"/>
        <v>1.0174550348186526E-2</v>
      </c>
      <c r="M38">
        <f t="shared" si="2"/>
        <v>3.0523651044559577E-2</v>
      </c>
      <c r="N38" s="26">
        <v>0.2</v>
      </c>
    </row>
    <row r="39" spans="1:14" x14ac:dyDescent="0.25">
      <c r="A39" t="s">
        <v>41</v>
      </c>
      <c r="B39">
        <v>5.7077120000000002E-3</v>
      </c>
      <c r="C39" s="26">
        <v>0.2</v>
      </c>
      <c r="D39">
        <v>1.074388693</v>
      </c>
      <c r="E39">
        <v>1.1679999999999999</v>
      </c>
      <c r="F39" s="18">
        <v>0.36949700000000002</v>
      </c>
      <c r="G39">
        <v>0.13219400000000001</v>
      </c>
      <c r="H39">
        <v>-63.334400000000002</v>
      </c>
      <c r="J39" s="27"/>
      <c r="K39">
        <f t="shared" si="0"/>
        <v>2.7690496337543826</v>
      </c>
      <c r="L39" s="18">
        <f t="shared" si="1"/>
        <v>1.0231555325233432E-2</v>
      </c>
      <c r="M39">
        <f t="shared" si="2"/>
        <v>3.0694665975700294E-2</v>
      </c>
      <c r="N39" s="26">
        <v>0.2</v>
      </c>
    </row>
    <row r="40" spans="1:14" x14ac:dyDescent="0.25">
      <c r="A40" t="s">
        <v>42</v>
      </c>
      <c r="B40">
        <v>5.7077120000000002E-3</v>
      </c>
      <c r="C40" s="26">
        <v>0.2</v>
      </c>
      <c r="D40">
        <v>1.2157556270000001</v>
      </c>
      <c r="E40">
        <v>1.1679999999999999</v>
      </c>
      <c r="F40" s="18">
        <v>0.371556</v>
      </c>
      <c r="G40">
        <v>0.17003499999999999</v>
      </c>
      <c r="H40">
        <v>-71.667900000000003</v>
      </c>
      <c r="K40">
        <f t="shared" si="0"/>
        <v>2.7661385112027332</v>
      </c>
      <c r="L40" s="18">
        <f t="shared" si="1"/>
        <v>1.0277753606684427E-2</v>
      </c>
      <c r="M40">
        <f t="shared" si="2"/>
        <v>3.0833260820053283E-2</v>
      </c>
      <c r="N40" s="26">
        <v>0.2</v>
      </c>
    </row>
    <row r="41" spans="1:14" x14ac:dyDescent="0.25">
      <c r="A41" t="s">
        <v>43</v>
      </c>
      <c r="B41">
        <v>5.7077120000000002E-3</v>
      </c>
      <c r="C41" s="26">
        <v>0.2</v>
      </c>
      <c r="D41">
        <v>1.3571225600000001</v>
      </c>
      <c r="E41">
        <v>1.1679999999999999</v>
      </c>
      <c r="F41" s="18">
        <v>0.37318400000000002</v>
      </c>
      <c r="G41">
        <v>0.21265200000000001</v>
      </c>
      <c r="H41">
        <v>-80.001400000000004</v>
      </c>
      <c r="K41">
        <f t="shared" si="0"/>
        <v>2.7641430590419778</v>
      </c>
      <c r="L41" s="18">
        <f t="shared" si="1"/>
        <v>1.0315339633455215E-2</v>
      </c>
      <c r="M41">
        <f t="shared" si="2"/>
        <v>3.0946018900365645E-2</v>
      </c>
      <c r="N41" s="26">
        <v>0.2</v>
      </c>
    </row>
    <row r="42" spans="1:14" x14ac:dyDescent="0.25">
      <c r="A42" t="s">
        <v>44</v>
      </c>
      <c r="B42">
        <v>5.7077120000000002E-3</v>
      </c>
      <c r="C42" s="26">
        <v>0.2</v>
      </c>
      <c r="D42">
        <v>0.75945996000000004</v>
      </c>
      <c r="E42">
        <v>1.1619999999999999</v>
      </c>
      <c r="F42" s="20">
        <v>0.36268600000000001</v>
      </c>
      <c r="G42">
        <v>6.5431699999999995E-2</v>
      </c>
      <c r="H42">
        <v>-45.000799999999998</v>
      </c>
      <c r="K42">
        <f t="shared" si="0"/>
        <v>2.7801158401580039</v>
      </c>
      <c r="L42" s="20">
        <f t="shared" si="1"/>
        <v>1.0083090936035459E-2</v>
      </c>
      <c r="M42">
        <f t="shared" si="2"/>
        <v>3.0249272808106374E-2</v>
      </c>
      <c r="N42" s="26">
        <v>0.2</v>
      </c>
    </row>
    <row r="43" spans="1:14" x14ac:dyDescent="0.25">
      <c r="A43" t="s">
        <v>45</v>
      </c>
      <c r="B43">
        <v>5.7077120000000002E-3</v>
      </c>
      <c r="C43" s="26">
        <v>0.2</v>
      </c>
      <c r="D43">
        <v>0.87197254700000004</v>
      </c>
      <c r="E43">
        <v>1.1619999999999999</v>
      </c>
      <c r="F43" s="20">
        <v>0.36558600000000002</v>
      </c>
      <c r="G43">
        <v>8.6790000000000006E-2</v>
      </c>
      <c r="H43">
        <v>-51.6676</v>
      </c>
      <c r="K43">
        <f t="shared" si="0"/>
        <v>2.7751694355624656</v>
      </c>
      <c r="L43" s="20">
        <f t="shared" si="1"/>
        <v>1.0145630932695398E-2</v>
      </c>
      <c r="M43">
        <f t="shared" si="2"/>
        <v>3.0436892798086194E-2</v>
      </c>
      <c r="N43" s="26">
        <v>0.2</v>
      </c>
    </row>
    <row r="44" spans="1:14" x14ac:dyDescent="0.25">
      <c r="A44" t="s">
        <v>46</v>
      </c>
      <c r="B44">
        <v>5.7077120000000002E-3</v>
      </c>
      <c r="C44" s="26">
        <v>0.2</v>
      </c>
      <c r="D44">
        <v>0.98448513299999996</v>
      </c>
      <c r="E44">
        <v>1.1619999999999999</v>
      </c>
      <c r="F44" s="20">
        <v>0.367927</v>
      </c>
      <c r="G44">
        <v>0.11119</v>
      </c>
      <c r="H44">
        <v>-58.334400000000002</v>
      </c>
      <c r="K44">
        <f t="shared" si="0"/>
        <v>2.7714085300464375</v>
      </c>
      <c r="L44" s="20">
        <f t="shared" si="1"/>
        <v>1.0196760262343956E-2</v>
      </c>
      <c r="M44">
        <f t="shared" si="2"/>
        <v>3.0590280787031868E-2</v>
      </c>
      <c r="N44" s="26">
        <v>0.2</v>
      </c>
    </row>
    <row r="45" spans="1:14" x14ac:dyDescent="0.25">
      <c r="A45" t="s">
        <v>47</v>
      </c>
      <c r="B45">
        <v>5.7077120000000002E-3</v>
      </c>
      <c r="C45" s="26">
        <v>0.2</v>
      </c>
      <c r="D45">
        <v>1.0969977200000001</v>
      </c>
      <c r="E45">
        <v>1.1619999999999999</v>
      </c>
      <c r="F45" s="20">
        <v>0.36985899999999999</v>
      </c>
      <c r="G45">
        <v>0.13863700000000001</v>
      </c>
      <c r="H45">
        <v>-65.001099999999994</v>
      </c>
      <c r="K45">
        <f t="shared" si="0"/>
        <v>2.7685189308091163</v>
      </c>
      <c r="L45" s="20">
        <f t="shared" si="1"/>
        <v>1.0239616432301289E-2</v>
      </c>
      <c r="M45">
        <f t="shared" si="2"/>
        <v>3.0718849296903866E-2</v>
      </c>
      <c r="N45" s="26">
        <v>0.2</v>
      </c>
    </row>
    <row r="46" spans="1:14" x14ac:dyDescent="0.25">
      <c r="A46" t="s">
        <v>48</v>
      </c>
      <c r="B46">
        <v>5.7077120000000002E-3</v>
      </c>
      <c r="C46" s="26">
        <v>0.2</v>
      </c>
      <c r="D46">
        <v>0.58764103999999995</v>
      </c>
      <c r="E46">
        <v>1.1559999999999999</v>
      </c>
      <c r="F46" s="21">
        <v>0.356736</v>
      </c>
      <c r="G46">
        <v>3.8885299999999998E-2</v>
      </c>
      <c r="H46">
        <v>-35.000599999999999</v>
      </c>
      <c r="K46">
        <f t="shared" si="0"/>
        <v>2.79114102262798</v>
      </c>
      <c r="L46" s="21">
        <f t="shared" si="1"/>
        <v>9.9570048384821502E-3</v>
      </c>
      <c r="M46">
        <f t="shared" si="2"/>
        <v>2.9871014515446451E-2</v>
      </c>
      <c r="N46" s="26">
        <v>0.2</v>
      </c>
    </row>
    <row r="47" spans="1:14" x14ac:dyDescent="0.25">
      <c r="A47" t="s">
        <v>49</v>
      </c>
      <c r="B47">
        <v>5.7077120000000002E-3</v>
      </c>
      <c r="C47" s="26">
        <v>0.2</v>
      </c>
      <c r="D47">
        <v>0.65480001600000004</v>
      </c>
      <c r="E47">
        <v>1.1559999999999999</v>
      </c>
      <c r="F47" s="21">
        <v>0.35929800000000001</v>
      </c>
      <c r="G47">
        <v>4.8541399999999998E-2</v>
      </c>
      <c r="H47">
        <v>-39.000599999999999</v>
      </c>
      <c r="K47">
        <f t="shared" si="0"/>
        <v>2.7861799599463009</v>
      </c>
      <c r="L47" s="21">
        <f t="shared" si="1"/>
        <v>1.001068887248786E-2</v>
      </c>
      <c r="M47">
        <f t="shared" si="2"/>
        <v>3.003206661746358E-2</v>
      </c>
      <c r="N47" s="26">
        <v>0.2</v>
      </c>
    </row>
    <row r="48" spans="1:14" x14ac:dyDescent="0.25">
      <c r="A48" t="s">
        <v>50</v>
      </c>
      <c r="B48">
        <v>5.7077120000000002E-3</v>
      </c>
      <c r="C48" s="26">
        <v>0.2</v>
      </c>
      <c r="D48">
        <v>0.72195899200000002</v>
      </c>
      <c r="E48">
        <v>1.1559999999999999</v>
      </c>
      <c r="F48" s="21">
        <v>0.36156700000000003</v>
      </c>
      <c r="G48">
        <v>5.9296000000000001E-2</v>
      </c>
      <c r="H48">
        <v>-43.000700000000002</v>
      </c>
      <c r="K48">
        <f t="shared" si="0"/>
        <v>2.7821452759522809</v>
      </c>
      <c r="L48" s="21">
        <f t="shared" si="1"/>
        <v>1.0059319209902384E-2</v>
      </c>
      <c r="M48">
        <f t="shared" si="2"/>
        <v>3.0177957629707153E-2</v>
      </c>
      <c r="N48" s="26">
        <v>0.2</v>
      </c>
    </row>
    <row r="49" spans="1:14" x14ac:dyDescent="0.25">
      <c r="A49" t="s">
        <v>51</v>
      </c>
      <c r="B49">
        <v>5.7077120000000002E-3</v>
      </c>
      <c r="C49" s="26">
        <v>0.2</v>
      </c>
      <c r="D49">
        <v>0.789117968</v>
      </c>
      <c r="E49">
        <v>1.1559999999999999</v>
      </c>
      <c r="F49" s="21">
        <v>0.36351299999999998</v>
      </c>
      <c r="G49">
        <v>7.1133100000000005E-2</v>
      </c>
      <c r="H49">
        <v>-47.000799999999998</v>
      </c>
      <c r="K49">
        <f t="shared" si="0"/>
        <v>2.7786607835518082</v>
      </c>
      <c r="L49" s="21">
        <f t="shared" si="1"/>
        <v>1.0100793174112685E-2</v>
      </c>
      <c r="M49">
        <f t="shared" si="2"/>
        <v>3.0302379522338052E-2</v>
      </c>
      <c r="N49" s="26">
        <v>0.2</v>
      </c>
    </row>
    <row r="50" spans="1:14" x14ac:dyDescent="0.25">
      <c r="A50" t="s">
        <v>52</v>
      </c>
      <c r="B50">
        <v>5.7077120000000002E-3</v>
      </c>
      <c r="C50" s="26">
        <v>0.2</v>
      </c>
      <c r="D50">
        <v>0.85627694399999998</v>
      </c>
      <c r="E50">
        <v>1.1559999999999999</v>
      </c>
      <c r="F50" s="21">
        <v>0.36522199999999999</v>
      </c>
      <c r="G50">
        <v>8.4061999999999998E-2</v>
      </c>
      <c r="H50">
        <v>-51.000900000000001</v>
      </c>
      <c r="K50">
        <f t="shared" si="0"/>
        <v>2.7757564072773464</v>
      </c>
      <c r="L50" s="21">
        <f t="shared" si="1"/>
        <v>1.013767306578647E-2</v>
      </c>
      <c r="M50">
        <f t="shared" si="2"/>
        <v>3.041301919735941E-2</v>
      </c>
      <c r="N50" s="26">
        <v>0.2</v>
      </c>
    </row>
    <row r="51" spans="1:14" x14ac:dyDescent="0.25">
      <c r="A51" t="s">
        <v>53</v>
      </c>
      <c r="B51">
        <v>5.7077120000000002E-3</v>
      </c>
      <c r="C51" s="26">
        <v>0.2</v>
      </c>
      <c r="D51">
        <v>0.92343591999999997</v>
      </c>
      <c r="E51">
        <v>1.1559999999999999</v>
      </c>
      <c r="F51" s="21">
        <v>0.36671399999999998</v>
      </c>
      <c r="G51">
        <v>9.8079200000000005E-2</v>
      </c>
      <c r="H51">
        <v>-55.000900000000001</v>
      </c>
      <c r="K51">
        <f t="shared" si="0"/>
        <v>2.7733461288946515</v>
      </c>
      <c r="L51" s="21">
        <f t="shared" si="1"/>
        <v>1.0170248523114732E-2</v>
      </c>
      <c r="M51">
        <f t="shared" si="2"/>
        <v>3.0510745569344196E-2</v>
      </c>
      <c r="N51" s="26">
        <v>0.2</v>
      </c>
    </row>
    <row r="52" spans="1:14" x14ac:dyDescent="0.25">
      <c r="A52" t="s">
        <v>54</v>
      </c>
      <c r="B52">
        <v>5.7077120000000002E-3</v>
      </c>
      <c r="C52" s="26">
        <v>0.2</v>
      </c>
      <c r="D52">
        <v>0.25053900000000001</v>
      </c>
      <c r="E52">
        <v>1.1499999999999999</v>
      </c>
      <c r="F52" s="25">
        <v>0.33658300000000002</v>
      </c>
      <c r="G52">
        <v>6.7579199999999997E-3</v>
      </c>
      <c r="H52">
        <v>-15.0002</v>
      </c>
      <c r="K52">
        <f t="shared" si="0"/>
        <v>2.8137208369516498</v>
      </c>
      <c r="L52" s="25">
        <f t="shared" si="1"/>
        <v>9.4705060046369714E-3</v>
      </c>
      <c r="M52">
        <f t="shared" si="2"/>
        <v>2.8411518013910914E-2</v>
      </c>
      <c r="N52" s="26">
        <v>0.2</v>
      </c>
    </row>
    <row r="53" spans="1:14" x14ac:dyDescent="0.25">
      <c r="A53" t="s">
        <v>55</v>
      </c>
      <c r="B53">
        <v>5.7077120000000002E-3</v>
      </c>
      <c r="C53" s="26">
        <v>0.2</v>
      </c>
      <c r="D53">
        <v>0.322121571</v>
      </c>
      <c r="E53">
        <v>1.1499999999999999</v>
      </c>
      <c r="F53" s="25">
        <v>0.34248099999999998</v>
      </c>
      <c r="G53">
        <v>1.13586E-2</v>
      </c>
      <c r="H53">
        <v>-19.286000000000001</v>
      </c>
      <c r="K53">
        <f t="shared" si="0"/>
        <v>2.8116304286673928</v>
      </c>
      <c r="L53" s="25">
        <f t="shared" si="1"/>
        <v>9.629300008404373E-3</v>
      </c>
      <c r="M53">
        <f t="shared" si="2"/>
        <v>2.8887900025213117E-2</v>
      </c>
      <c r="N53" s="26">
        <v>0.2</v>
      </c>
    </row>
    <row r="54" spans="1:14" x14ac:dyDescent="0.25">
      <c r="A54" t="s">
        <v>56</v>
      </c>
      <c r="B54">
        <v>5.7077120000000002E-3</v>
      </c>
      <c r="C54" s="26">
        <v>0.2</v>
      </c>
      <c r="D54">
        <v>0.39370414300000001</v>
      </c>
      <c r="E54">
        <v>1.1499999999999999</v>
      </c>
      <c r="F54" s="25">
        <v>0.347022</v>
      </c>
      <c r="G54">
        <v>1.7167200000000001E-2</v>
      </c>
      <c r="H54">
        <v>-23.5718</v>
      </c>
      <c r="K54">
        <f t="shared" si="0"/>
        <v>2.8074446315195072</v>
      </c>
      <c r="L54" s="25">
        <f t="shared" si="1"/>
        <v>9.7424505091916243E-3</v>
      </c>
      <c r="M54">
        <f t="shared" si="2"/>
        <v>2.9227351527574871E-2</v>
      </c>
      <c r="N54" s="26">
        <v>0.2</v>
      </c>
    </row>
    <row r="55" spans="1:14" x14ac:dyDescent="0.25">
      <c r="A55" t="s">
        <v>57</v>
      </c>
      <c r="B55">
        <v>5.7077120000000002E-3</v>
      </c>
      <c r="C55" s="26">
        <v>0.2</v>
      </c>
      <c r="D55">
        <v>0.46528671399999999</v>
      </c>
      <c r="E55">
        <v>1.1499999999999999</v>
      </c>
      <c r="F55" s="25">
        <v>0.350887</v>
      </c>
      <c r="G55">
        <v>2.4197099999999999E-2</v>
      </c>
      <c r="H55">
        <v>-27.857600000000001</v>
      </c>
      <c r="K55">
        <f t="shared" si="0"/>
        <v>2.801966130235392</v>
      </c>
      <c r="L55" s="25">
        <f t="shared" si="1"/>
        <v>9.8317348953990604E-3</v>
      </c>
      <c r="M55">
        <f t="shared" si="2"/>
        <v>2.9495204686197179E-2</v>
      </c>
      <c r="N55" s="26">
        <v>0.2</v>
      </c>
    </row>
    <row r="56" spans="1:14" x14ac:dyDescent="0.25">
      <c r="A56" t="s">
        <v>58</v>
      </c>
      <c r="B56">
        <v>5.7077120000000002E-3</v>
      </c>
      <c r="C56" s="26">
        <v>0.2</v>
      </c>
      <c r="D56">
        <v>0.53686928599999995</v>
      </c>
      <c r="E56">
        <v>1.1499999999999999</v>
      </c>
      <c r="F56" s="25">
        <v>0.35453000000000001</v>
      </c>
      <c r="G56">
        <v>3.2474500000000003E-2</v>
      </c>
      <c r="H56">
        <v>-32.1434</v>
      </c>
      <c r="K56">
        <f t="shared" si="0"/>
        <v>2.7955038424449268</v>
      </c>
      <c r="L56" s="25">
        <f t="shared" si="1"/>
        <v>9.91089977262E-3</v>
      </c>
      <c r="M56">
        <f t="shared" si="2"/>
        <v>2.973269931786E-2</v>
      </c>
      <c r="N56" s="26">
        <v>0.2</v>
      </c>
    </row>
    <row r="57" spans="1:14" x14ac:dyDescent="0.25">
      <c r="A57" t="s">
        <v>59</v>
      </c>
      <c r="B57">
        <v>5.7077120000000002E-3</v>
      </c>
      <c r="C57" s="26">
        <v>0.2</v>
      </c>
      <c r="D57">
        <v>0.60845185700000004</v>
      </c>
      <c r="E57">
        <v>1.1499999999999999</v>
      </c>
      <c r="F57" s="25">
        <v>0.35756900000000003</v>
      </c>
      <c r="G57">
        <v>4.1978599999999998E-2</v>
      </c>
      <c r="H57">
        <v>-36.429200000000002</v>
      </c>
      <c r="K57">
        <f t="shared" si="0"/>
        <v>2.7894787623190154</v>
      </c>
      <c r="L57" s="25">
        <f t="shared" si="1"/>
        <v>9.9743113156364801E-3</v>
      </c>
      <c r="M57">
        <f t="shared" si="2"/>
        <v>2.9922933946909439E-2</v>
      </c>
      <c r="N57" s="26">
        <v>0.2</v>
      </c>
    </row>
    <row r="58" spans="1:14" x14ac:dyDescent="0.25">
      <c r="A58" t="s">
        <v>60</v>
      </c>
      <c r="B58">
        <v>5.7077120000000002E-3</v>
      </c>
      <c r="C58" s="26">
        <v>0.2</v>
      </c>
      <c r="D58">
        <v>0.680034429</v>
      </c>
      <c r="E58">
        <v>1.1499999999999999</v>
      </c>
      <c r="F58" s="25">
        <v>0.36019099999999998</v>
      </c>
      <c r="G58">
        <v>5.2728499999999998E-2</v>
      </c>
      <c r="H58">
        <v>-40.715000000000003</v>
      </c>
      <c r="K58">
        <f t="shared" si="0"/>
        <v>2.7845685790926589</v>
      </c>
      <c r="L58" s="25">
        <f t="shared" si="1"/>
        <v>1.0029765410719638E-2</v>
      </c>
      <c r="M58">
        <f t="shared" si="2"/>
        <v>3.0089296232158915E-2</v>
      </c>
      <c r="N58" s="26">
        <v>0.2</v>
      </c>
    </row>
    <row r="59" spans="1:14" x14ac:dyDescent="0.25">
      <c r="A59" t="s">
        <v>61</v>
      </c>
      <c r="B59">
        <v>5.7077120000000002E-3</v>
      </c>
      <c r="C59" s="26">
        <v>0.2</v>
      </c>
      <c r="D59">
        <v>0.75161699999999998</v>
      </c>
      <c r="E59">
        <v>1.1499999999999999</v>
      </c>
      <c r="F59" s="25">
        <v>0.36245300000000003</v>
      </c>
      <c r="G59">
        <v>6.4724400000000001E-2</v>
      </c>
      <c r="H59">
        <v>-45.000799999999998</v>
      </c>
      <c r="K59">
        <f t="shared" si="0"/>
        <v>2.7805461146851802</v>
      </c>
      <c r="L59" s="25">
        <f t="shared" si="1"/>
        <v>1.0078172809059876E-2</v>
      </c>
      <c r="M59">
        <f t="shared" si="2"/>
        <v>3.0234518427179627E-2</v>
      </c>
      <c r="N59" s="26">
        <v>0.2</v>
      </c>
    </row>
    <row r="60" spans="1:14" x14ac:dyDescent="0.25">
      <c r="A60" t="s">
        <v>62</v>
      </c>
      <c r="B60">
        <v>5.7077120000000002E-3</v>
      </c>
      <c r="C60" s="26">
        <v>0.2</v>
      </c>
      <c r="D60">
        <v>3.7795409000000002E-2</v>
      </c>
      <c r="E60">
        <v>1.145</v>
      </c>
      <c r="F60" s="22">
        <v>0.29331299999999999</v>
      </c>
      <c r="G60">
        <v>1.23872E-4</v>
      </c>
      <c r="H60">
        <v>-2.2726600000000001</v>
      </c>
      <c r="K60">
        <f t="shared" si="0"/>
        <v>2.5895213242283126</v>
      </c>
      <c r="L60" s="22">
        <f t="shared" si="1"/>
        <v>7.5954026817337894E-3</v>
      </c>
      <c r="M60">
        <f t="shared" si="2"/>
        <v>2.2786208045201369E-2</v>
      </c>
      <c r="N60" s="26">
        <v>0.2</v>
      </c>
    </row>
    <row r="61" spans="1:14" x14ac:dyDescent="0.25">
      <c r="A61" t="s">
        <v>63</v>
      </c>
      <c r="B61">
        <v>5.7077120000000002E-3</v>
      </c>
      <c r="C61" s="26">
        <v>0.2</v>
      </c>
      <c r="D61">
        <v>7.5590818000000004E-2</v>
      </c>
      <c r="E61">
        <v>1.145</v>
      </c>
      <c r="F61" s="22">
        <v>0.32380799999999998</v>
      </c>
      <c r="G61">
        <v>5.6903300000000004E-4</v>
      </c>
      <c r="H61">
        <v>-4.54542</v>
      </c>
      <c r="K61">
        <f t="shared" si="0"/>
        <v>2.6936950753449138</v>
      </c>
      <c r="L61" s="22">
        <f t="shared" si="1"/>
        <v>8.7224001495728575E-3</v>
      </c>
      <c r="M61">
        <f t="shared" si="2"/>
        <v>2.6167200448718571E-2</v>
      </c>
      <c r="N61" s="26">
        <v>0.2</v>
      </c>
    </row>
    <row r="62" spans="1:14" x14ac:dyDescent="0.25">
      <c r="A62" t="s">
        <v>64</v>
      </c>
      <c r="B62">
        <v>5.7077120000000002E-3</v>
      </c>
      <c r="C62" s="26">
        <v>0.2</v>
      </c>
      <c r="D62">
        <v>0.11338622700000001</v>
      </c>
      <c r="E62">
        <v>1.145</v>
      </c>
      <c r="F62" s="22">
        <v>0.32588600000000001</v>
      </c>
      <c r="G62">
        <v>1.32335E-3</v>
      </c>
      <c r="H62">
        <v>-6.8181900000000004</v>
      </c>
      <c r="K62">
        <f t="shared" si="0"/>
        <v>2.7664155024817414</v>
      </c>
      <c r="L62" s="22">
        <f t="shared" si="1"/>
        <v>9.0153608244176488E-3</v>
      </c>
      <c r="M62">
        <f t="shared" si="2"/>
        <v>2.7046082473252946E-2</v>
      </c>
      <c r="N62" s="26">
        <v>0.2</v>
      </c>
    </row>
    <row r="63" spans="1:14" x14ac:dyDescent="0.25">
      <c r="A63" t="s">
        <v>65</v>
      </c>
      <c r="B63">
        <v>5.7077120000000002E-3</v>
      </c>
      <c r="C63" s="26">
        <v>0.2</v>
      </c>
      <c r="D63">
        <v>0.15118163600000001</v>
      </c>
      <c r="E63">
        <v>1.145</v>
      </c>
      <c r="F63" s="22">
        <v>0.328241</v>
      </c>
      <c r="G63">
        <v>2.3946000000000002E-3</v>
      </c>
      <c r="H63">
        <v>-9.0909499999999994</v>
      </c>
      <c r="K63">
        <f t="shared" si="0"/>
        <v>2.7955560435626596</v>
      </c>
      <c r="L63" s="22">
        <f t="shared" si="1"/>
        <v>9.1761611129505104E-3</v>
      </c>
      <c r="M63">
        <f t="shared" si="2"/>
        <v>2.752848333885153E-2</v>
      </c>
      <c r="N63" s="26">
        <v>0.2</v>
      </c>
    </row>
    <row r="64" spans="1:14" x14ac:dyDescent="0.25">
      <c r="A64" t="s">
        <v>66</v>
      </c>
      <c r="B64">
        <v>5.7077120000000002E-3</v>
      </c>
      <c r="C64" s="26">
        <v>0.2</v>
      </c>
      <c r="D64">
        <v>0.18897704500000001</v>
      </c>
      <c r="E64">
        <v>1.145</v>
      </c>
      <c r="F64" s="22">
        <v>0.33117000000000002</v>
      </c>
      <c r="G64">
        <v>3.7914899999999998E-3</v>
      </c>
      <c r="H64">
        <v>-11.3637</v>
      </c>
      <c r="K64">
        <f t="shared" si="0"/>
        <v>2.8077988859964265</v>
      </c>
      <c r="L64" s="22">
        <f t="shared" si="1"/>
        <v>9.2985875707543662E-3</v>
      </c>
      <c r="M64">
        <f t="shared" si="2"/>
        <v>2.78957627122631E-2</v>
      </c>
      <c r="N64" s="26">
        <v>0.2</v>
      </c>
    </row>
    <row r="65" spans="1:14" x14ac:dyDescent="0.25">
      <c r="A65" t="s">
        <v>67</v>
      </c>
      <c r="B65">
        <v>5.7077120000000002E-3</v>
      </c>
      <c r="C65" s="26">
        <v>0.2</v>
      </c>
      <c r="D65">
        <v>0.22677245500000001</v>
      </c>
      <c r="E65">
        <v>1.145</v>
      </c>
      <c r="F65" s="22">
        <v>0.33443400000000001</v>
      </c>
      <c r="G65">
        <v>5.5237899999999998E-3</v>
      </c>
      <c r="H65">
        <v>-13.6365</v>
      </c>
      <c r="K65">
        <f t="shared" si="0"/>
        <v>2.8129854962313057</v>
      </c>
      <c r="L65" s="22">
        <f t="shared" si="1"/>
        <v>9.4075799144662051E-3</v>
      </c>
      <c r="M65">
        <f t="shared" si="2"/>
        <v>2.8222739743398617E-2</v>
      </c>
      <c r="N65" s="26">
        <v>0.2</v>
      </c>
    </row>
    <row r="66" spans="1:14" x14ac:dyDescent="0.25">
      <c r="A66" t="s">
        <v>68</v>
      </c>
      <c r="B66">
        <v>5.7077120000000002E-3</v>
      </c>
      <c r="C66" s="26">
        <v>0.2</v>
      </c>
      <c r="D66">
        <v>0.26456786399999999</v>
      </c>
      <c r="E66">
        <v>1.145</v>
      </c>
      <c r="F66" s="22">
        <v>0.33784399999999998</v>
      </c>
      <c r="G66">
        <v>7.5970999999999999E-3</v>
      </c>
      <c r="H66">
        <v>-15.9093</v>
      </c>
      <c r="K66">
        <f t="shared" si="0"/>
        <v>2.813688919258007</v>
      </c>
      <c r="L66" s="22">
        <f t="shared" si="1"/>
        <v>9.5058791923780216E-3</v>
      </c>
      <c r="M66">
        <f t="shared" si="2"/>
        <v>2.8517637577134065E-2</v>
      </c>
      <c r="N66" s="26">
        <v>0.2</v>
      </c>
    </row>
    <row r="67" spans="1:14" x14ac:dyDescent="0.25">
      <c r="A67" t="s">
        <v>69</v>
      </c>
      <c r="B67">
        <v>5.7077120000000002E-3</v>
      </c>
      <c r="C67" s="26">
        <v>0.2</v>
      </c>
      <c r="D67">
        <v>0.30236327299999999</v>
      </c>
      <c r="E67">
        <v>1.145</v>
      </c>
      <c r="F67" s="22">
        <v>0.34103</v>
      </c>
      <c r="G67">
        <v>1.0012E-2</v>
      </c>
      <c r="H67">
        <v>-18.181999999999999</v>
      </c>
      <c r="K67">
        <f t="shared" si="0"/>
        <v>2.8124935776264093</v>
      </c>
      <c r="L67" s="22">
        <f t="shared" si="1"/>
        <v>9.5914468477793433E-3</v>
      </c>
      <c r="M67">
        <f t="shared" si="2"/>
        <v>2.877434054333803E-2</v>
      </c>
      <c r="N67" s="26">
        <v>0.2</v>
      </c>
    </row>
    <row r="68" spans="1:14" x14ac:dyDescent="0.25">
      <c r="A68" t="s">
        <v>70</v>
      </c>
      <c r="B68">
        <v>5.7077120000000002E-3</v>
      </c>
      <c r="C68" s="26">
        <v>0.2</v>
      </c>
      <c r="D68">
        <v>0.34015868199999999</v>
      </c>
      <c r="E68">
        <v>1.145</v>
      </c>
      <c r="F68" s="22">
        <v>0.34371499999999999</v>
      </c>
      <c r="G68">
        <v>1.2763099999999999E-2</v>
      </c>
      <c r="H68">
        <v>-20.454799999999999</v>
      </c>
      <c r="K68">
        <f t="shared" si="0"/>
        <v>2.8106955228802302</v>
      </c>
      <c r="L68" s="22">
        <f t="shared" si="1"/>
        <v>9.660782116467783E-3</v>
      </c>
      <c r="M68">
        <f t="shared" si="2"/>
        <v>2.8982346349403349E-2</v>
      </c>
      <c r="N68" s="26">
        <v>0.2</v>
      </c>
    </row>
    <row r="69" spans="1:14" x14ac:dyDescent="0.25">
      <c r="A69" t="s">
        <v>71</v>
      </c>
      <c r="B69">
        <v>5.7077120000000002E-3</v>
      </c>
      <c r="C69" s="26">
        <v>0.2</v>
      </c>
      <c r="D69">
        <v>0.37795409099999999</v>
      </c>
      <c r="E69">
        <v>1.145</v>
      </c>
      <c r="F69" s="22">
        <v>0.34609600000000001</v>
      </c>
      <c r="G69">
        <v>1.5853599999999999E-2</v>
      </c>
      <c r="H69">
        <v>-22.727599999999999</v>
      </c>
      <c r="K69">
        <f t="shared" si="0"/>
        <v>2.8084762276632951</v>
      </c>
      <c r="L69" s="22">
        <f t="shared" si="1"/>
        <v>9.720023884893559E-3</v>
      </c>
      <c r="M69">
        <f t="shared" si="2"/>
        <v>2.9160071654680677E-2</v>
      </c>
      <c r="N69" s="26">
        <v>0.2</v>
      </c>
    </row>
    <row r="70" spans="1:14" x14ac:dyDescent="0.25">
      <c r="A70" t="s">
        <v>72</v>
      </c>
      <c r="B70">
        <v>5.7077120000000002E-3</v>
      </c>
      <c r="C70" s="26">
        <v>0.2</v>
      </c>
      <c r="D70">
        <v>0.41574949999999999</v>
      </c>
      <c r="E70">
        <v>1.145</v>
      </c>
      <c r="F70" s="22">
        <v>0.34826600000000002</v>
      </c>
      <c r="G70">
        <v>1.9285099999999999E-2</v>
      </c>
      <c r="H70">
        <v>-25.000399999999999</v>
      </c>
      <c r="K70">
        <f t="shared" ref="K70:K133" si="3">(L70/F70)*100</f>
        <v>2.8058438169250817</v>
      </c>
      <c r="L70" s="22">
        <f t="shared" ref="L70:L133" si="4">G70/($D$3*((E70*H70^2)/2))</f>
        <v>9.7718000274523049E-3</v>
      </c>
      <c r="M70">
        <f t="shared" ref="M70:M133" si="5">L70*3</f>
        <v>2.9315400082356915E-2</v>
      </c>
      <c r="N70" s="26">
        <v>0.2</v>
      </c>
    </row>
    <row r="71" spans="1:14" x14ac:dyDescent="0.25">
      <c r="A71" t="s">
        <v>73</v>
      </c>
      <c r="B71">
        <v>7.9898850000000004E-3</v>
      </c>
      <c r="C71" s="26">
        <v>0.3</v>
      </c>
      <c r="D71">
        <v>0.93302176000000003</v>
      </c>
      <c r="E71">
        <v>1.1679999999999999</v>
      </c>
      <c r="F71" s="18">
        <v>0.471553</v>
      </c>
      <c r="G71">
        <v>0.17488400000000001</v>
      </c>
      <c r="H71">
        <v>-55.000900000000001</v>
      </c>
      <c r="K71">
        <f t="shared" si="3"/>
        <v>3.8061789930936194</v>
      </c>
      <c r="L71" s="18">
        <f t="shared" si="4"/>
        <v>1.7948151227302755E-2</v>
      </c>
      <c r="M71">
        <f t="shared" si="5"/>
        <v>5.3844453681908266E-2</v>
      </c>
      <c r="N71" s="26">
        <v>0.3</v>
      </c>
    </row>
    <row r="72" spans="1:14" x14ac:dyDescent="0.25">
      <c r="A72" t="s">
        <v>74</v>
      </c>
      <c r="B72">
        <v>7.9898850000000004E-3</v>
      </c>
      <c r="C72" s="26">
        <v>0.3</v>
      </c>
      <c r="D72">
        <v>1.074388693</v>
      </c>
      <c r="E72">
        <v>1.1679999999999999</v>
      </c>
      <c r="F72" s="18">
        <v>0.47425099999999998</v>
      </c>
      <c r="G72">
        <v>0.23283000000000001</v>
      </c>
      <c r="H72">
        <v>-63.334400000000002</v>
      </c>
      <c r="K72">
        <f t="shared" si="3"/>
        <v>3.7997987530939539</v>
      </c>
      <c r="L72" s="18">
        <f t="shared" si="4"/>
        <v>1.8020583584535607E-2</v>
      </c>
      <c r="M72">
        <f t="shared" si="5"/>
        <v>5.4061750753606821E-2</v>
      </c>
      <c r="N72" s="26">
        <v>0.3</v>
      </c>
    </row>
    <row r="73" spans="1:14" x14ac:dyDescent="0.25">
      <c r="A73" t="s">
        <v>75</v>
      </c>
      <c r="B73">
        <v>7.9898850000000004E-3</v>
      </c>
      <c r="C73" s="26">
        <v>0.3</v>
      </c>
      <c r="D73">
        <v>1.2157556270000001</v>
      </c>
      <c r="E73">
        <v>1.1679999999999999</v>
      </c>
      <c r="F73" s="18">
        <v>0.47658</v>
      </c>
      <c r="G73">
        <v>0.29915900000000001</v>
      </c>
      <c r="H73">
        <v>-71.667900000000003</v>
      </c>
      <c r="K73">
        <f t="shared" si="3"/>
        <v>3.7942516886957773</v>
      </c>
      <c r="L73" s="18">
        <f t="shared" si="4"/>
        <v>1.8082644697986337E-2</v>
      </c>
      <c r="M73">
        <f t="shared" si="5"/>
        <v>5.4247934093959012E-2</v>
      </c>
      <c r="N73" s="26">
        <v>0.3</v>
      </c>
    </row>
    <row r="74" spans="1:14" x14ac:dyDescent="0.25">
      <c r="A74" t="s">
        <v>76</v>
      </c>
      <c r="B74">
        <v>7.9898850000000004E-3</v>
      </c>
      <c r="C74" s="26">
        <v>0.3</v>
      </c>
      <c r="D74">
        <v>1.3571225600000001</v>
      </c>
      <c r="E74">
        <v>1.1679999999999999</v>
      </c>
      <c r="F74" s="18">
        <v>0.47859400000000002</v>
      </c>
      <c r="G74">
        <v>0.37387799999999999</v>
      </c>
      <c r="H74">
        <v>-80.001400000000004</v>
      </c>
      <c r="K74">
        <f t="shared" si="3"/>
        <v>3.789454712898388</v>
      </c>
      <c r="L74" s="18">
        <f t="shared" si="4"/>
        <v>1.8136102888648913E-2</v>
      </c>
      <c r="M74">
        <f t="shared" si="5"/>
        <v>5.4408308665946738E-2</v>
      </c>
      <c r="N74" s="26">
        <v>0.3</v>
      </c>
    </row>
    <row r="75" spans="1:14" x14ac:dyDescent="0.25">
      <c r="A75" t="s">
        <v>77</v>
      </c>
      <c r="B75">
        <v>7.9898850000000004E-3</v>
      </c>
      <c r="C75" s="26">
        <v>0.3</v>
      </c>
      <c r="D75">
        <v>0.75945996000000004</v>
      </c>
      <c r="E75">
        <v>1.1619999999999999</v>
      </c>
      <c r="F75" s="20">
        <v>0.46763700000000002</v>
      </c>
      <c r="G75">
        <v>0.115776</v>
      </c>
      <c r="H75">
        <v>-45.000700000000002</v>
      </c>
      <c r="K75">
        <f t="shared" si="3"/>
        <v>3.8151980306374322</v>
      </c>
      <c r="L75" s="20">
        <f t="shared" si="4"/>
        <v>1.784127761453197E-2</v>
      </c>
      <c r="M75">
        <f t="shared" si="5"/>
        <v>5.3523832843595909E-2</v>
      </c>
      <c r="N75" s="26">
        <v>0.3</v>
      </c>
    </row>
    <row r="76" spans="1:14" x14ac:dyDescent="0.25">
      <c r="A76" t="s">
        <v>78</v>
      </c>
      <c r="B76">
        <v>7.9898850000000004E-3</v>
      </c>
      <c r="C76" s="26">
        <v>0.3</v>
      </c>
      <c r="D76">
        <v>0.87197254700000004</v>
      </c>
      <c r="E76">
        <v>1.1619999999999999</v>
      </c>
      <c r="F76" s="20">
        <v>0.47025600000000001</v>
      </c>
      <c r="G76">
        <v>0.15323600000000001</v>
      </c>
      <c r="H76">
        <v>-51.667499999999997</v>
      </c>
      <c r="K76">
        <f t="shared" si="3"/>
        <v>3.8092327901490308</v>
      </c>
      <c r="L76" s="20">
        <f t="shared" si="4"/>
        <v>1.7913145749643228E-2</v>
      </c>
      <c r="M76">
        <f t="shared" si="5"/>
        <v>5.3739437248929683E-2</v>
      </c>
      <c r="N76" s="26">
        <v>0.3</v>
      </c>
    </row>
    <row r="77" spans="1:14" x14ac:dyDescent="0.25">
      <c r="A77" t="s">
        <v>79</v>
      </c>
      <c r="B77">
        <v>7.9898850000000004E-3</v>
      </c>
      <c r="C77" s="26">
        <v>0.3</v>
      </c>
      <c r="D77">
        <v>0.98448513299999996</v>
      </c>
      <c r="E77">
        <v>1.1619999999999999</v>
      </c>
      <c r="F77" s="20">
        <v>0.47255999999999998</v>
      </c>
      <c r="G77">
        <v>0.19601099999999999</v>
      </c>
      <c r="H77">
        <v>-58.334299999999999</v>
      </c>
      <c r="K77">
        <f t="shared" si="3"/>
        <v>3.8038331058477168</v>
      </c>
      <c r="L77" s="20">
        <f t="shared" si="4"/>
        <v>1.797539372499397E-2</v>
      </c>
      <c r="M77">
        <f t="shared" si="5"/>
        <v>5.3926181174981908E-2</v>
      </c>
      <c r="N77" s="26">
        <v>0.3</v>
      </c>
    </row>
    <row r="78" spans="1:14" x14ac:dyDescent="0.25">
      <c r="A78" t="s">
        <v>80</v>
      </c>
      <c r="B78">
        <v>7.9898850000000004E-3</v>
      </c>
      <c r="C78" s="26">
        <v>0.3</v>
      </c>
      <c r="D78">
        <v>1.0969977200000001</v>
      </c>
      <c r="E78">
        <v>1.1619999999999999</v>
      </c>
      <c r="F78" s="20">
        <v>0.47465400000000002</v>
      </c>
      <c r="G78">
        <v>0.24413099999999999</v>
      </c>
      <c r="H78">
        <v>-65.001099999999994</v>
      </c>
      <c r="K78">
        <f t="shared" si="3"/>
        <v>3.7988340459285146</v>
      </c>
      <c r="L78" s="20">
        <f t="shared" si="4"/>
        <v>1.8031317752361532E-2</v>
      </c>
      <c r="M78">
        <f t="shared" si="5"/>
        <v>5.4093953257084597E-2</v>
      </c>
      <c r="N78" s="26">
        <v>0.3</v>
      </c>
    </row>
    <row r="79" spans="1:14" x14ac:dyDescent="0.25">
      <c r="A79" t="s">
        <v>81</v>
      </c>
      <c r="B79">
        <v>7.9898850000000004E-3</v>
      </c>
      <c r="C79" s="26">
        <v>0.3</v>
      </c>
      <c r="D79">
        <v>0.58764103999999995</v>
      </c>
      <c r="E79">
        <v>1.1559999999999999</v>
      </c>
      <c r="F79" s="21">
        <v>0.46378399999999997</v>
      </c>
      <c r="G79">
        <v>6.9227899999999995E-2</v>
      </c>
      <c r="H79">
        <v>-35.000500000000002</v>
      </c>
      <c r="K79">
        <f t="shared" si="3"/>
        <v>3.8221800529147498</v>
      </c>
      <c r="L79" s="21">
        <f t="shared" si="4"/>
        <v>1.7726659536610141E-2</v>
      </c>
      <c r="M79">
        <f t="shared" si="5"/>
        <v>5.3179978609830425E-2</v>
      </c>
      <c r="N79" s="26">
        <v>0.3</v>
      </c>
    </row>
    <row r="80" spans="1:14" x14ac:dyDescent="0.25">
      <c r="A80" t="s">
        <v>82</v>
      </c>
      <c r="B80">
        <v>7.9898850000000004E-3</v>
      </c>
      <c r="C80" s="26">
        <v>0.3</v>
      </c>
      <c r="D80">
        <v>0.65480001600000004</v>
      </c>
      <c r="E80">
        <v>1.1559999999999999</v>
      </c>
      <c r="F80" s="21">
        <v>0.46521699999999999</v>
      </c>
      <c r="G80">
        <v>8.6172100000000001E-2</v>
      </c>
      <c r="H80">
        <v>-39.000599999999999</v>
      </c>
      <c r="K80">
        <f t="shared" si="3"/>
        <v>3.8199947538866152</v>
      </c>
      <c r="L80" s="21">
        <f t="shared" si="4"/>
        <v>1.7771264994188695E-2</v>
      </c>
      <c r="M80">
        <f t="shared" si="5"/>
        <v>5.3313794982566082E-2</v>
      </c>
      <c r="N80" s="26">
        <v>0.3</v>
      </c>
    </row>
    <row r="81" spans="1:14" x14ac:dyDescent="0.25">
      <c r="A81" t="s">
        <v>83</v>
      </c>
      <c r="B81">
        <v>7.9898850000000004E-3</v>
      </c>
      <c r="C81" s="26">
        <v>0.3</v>
      </c>
      <c r="D81">
        <v>0.72195899200000002</v>
      </c>
      <c r="E81">
        <v>1.1559999999999999</v>
      </c>
      <c r="F81" s="21">
        <v>0.46675800000000001</v>
      </c>
      <c r="G81">
        <v>0.105021</v>
      </c>
      <c r="H81">
        <v>-43.000700000000002</v>
      </c>
      <c r="K81">
        <f t="shared" si="3"/>
        <v>3.8170475586680004</v>
      </c>
      <c r="L81" s="21">
        <f t="shared" si="4"/>
        <v>1.7816374843887588E-2</v>
      </c>
      <c r="M81">
        <f t="shared" si="5"/>
        <v>5.3449124531662763E-2</v>
      </c>
      <c r="N81" s="26">
        <v>0.3</v>
      </c>
    </row>
    <row r="82" spans="1:14" x14ac:dyDescent="0.25">
      <c r="A82" t="s">
        <v>84</v>
      </c>
      <c r="B82">
        <v>7.9898850000000004E-3</v>
      </c>
      <c r="C82" s="26">
        <v>0.3</v>
      </c>
      <c r="D82">
        <v>0.789117968</v>
      </c>
      <c r="E82">
        <v>1.1559999999999999</v>
      </c>
      <c r="F82" s="21">
        <v>0.46833799999999998</v>
      </c>
      <c r="G82">
        <v>0.125781</v>
      </c>
      <c r="H82">
        <v>-47.000799999999998</v>
      </c>
      <c r="K82">
        <f t="shared" si="3"/>
        <v>3.8136373199764573</v>
      </c>
      <c r="L82" s="21">
        <f t="shared" si="4"/>
        <v>1.7860712751631341E-2</v>
      </c>
      <c r="M82">
        <f t="shared" si="5"/>
        <v>5.3582138254894024E-2</v>
      </c>
      <c r="N82" s="26">
        <v>0.3</v>
      </c>
    </row>
    <row r="83" spans="1:14" x14ac:dyDescent="0.25">
      <c r="A83" t="s">
        <v>85</v>
      </c>
      <c r="B83">
        <v>7.9898850000000004E-3</v>
      </c>
      <c r="C83" s="26">
        <v>0.3</v>
      </c>
      <c r="D83">
        <v>0.85627694399999998</v>
      </c>
      <c r="E83">
        <v>1.1559999999999999</v>
      </c>
      <c r="F83" s="21">
        <v>0.46989999999999998</v>
      </c>
      <c r="G83">
        <v>0.148456</v>
      </c>
      <c r="H83">
        <v>-51.000900000000001</v>
      </c>
      <c r="K83">
        <f t="shared" si="3"/>
        <v>3.8100517328981778</v>
      </c>
      <c r="L83" s="21">
        <f t="shared" si="4"/>
        <v>1.7903433092888537E-2</v>
      </c>
      <c r="M83">
        <f t="shared" si="5"/>
        <v>5.3710299278665607E-2</v>
      </c>
      <c r="N83" s="26">
        <v>0.3</v>
      </c>
    </row>
    <row r="84" spans="1:14" x14ac:dyDescent="0.25">
      <c r="A84" t="s">
        <v>86</v>
      </c>
      <c r="B84">
        <v>7.9898850000000004E-3</v>
      </c>
      <c r="C84" s="26">
        <v>0.3</v>
      </c>
      <c r="D84">
        <v>0.92343591999999997</v>
      </c>
      <c r="E84">
        <v>1.1559999999999999</v>
      </c>
      <c r="F84" s="21">
        <v>0.47136099999999997</v>
      </c>
      <c r="G84">
        <v>0.173037</v>
      </c>
      <c r="H84">
        <v>-55.000900000000001</v>
      </c>
      <c r="K84">
        <f t="shared" si="3"/>
        <v>3.8066239987281931</v>
      </c>
      <c r="L84" s="21">
        <f t="shared" si="4"/>
        <v>1.7942940946645197E-2</v>
      </c>
      <c r="M84">
        <f t="shared" si="5"/>
        <v>5.3828822839935592E-2</v>
      </c>
      <c r="N84" s="26">
        <v>0.3</v>
      </c>
    </row>
    <row r="85" spans="1:14" x14ac:dyDescent="0.25">
      <c r="A85" t="s">
        <v>87</v>
      </c>
      <c r="B85">
        <v>7.9898850000000004E-3</v>
      </c>
      <c r="C85" s="26">
        <v>0.3</v>
      </c>
      <c r="D85">
        <v>0.25053900000000001</v>
      </c>
      <c r="E85">
        <v>1.1499999999999999</v>
      </c>
      <c r="F85" s="25">
        <v>0.46163999999999999</v>
      </c>
      <c r="G85">
        <v>1.25358E-2</v>
      </c>
      <c r="H85">
        <v>-15.0001</v>
      </c>
      <c r="K85">
        <f t="shared" si="3"/>
        <v>3.8055247454768972</v>
      </c>
      <c r="L85" s="25">
        <f t="shared" si="4"/>
        <v>1.7567824435019547E-2</v>
      </c>
      <c r="M85">
        <f t="shared" si="5"/>
        <v>5.2703473305058646E-2</v>
      </c>
      <c r="N85" s="26">
        <v>0.3</v>
      </c>
    </row>
    <row r="86" spans="1:14" x14ac:dyDescent="0.25">
      <c r="A86" t="s">
        <v>88</v>
      </c>
      <c r="B86">
        <v>7.9898850000000004E-3</v>
      </c>
      <c r="C86" s="26">
        <v>0.3</v>
      </c>
      <c r="D86">
        <v>0.322121571</v>
      </c>
      <c r="E86">
        <v>1.1499999999999999</v>
      </c>
      <c r="F86" s="25">
        <v>0.46133200000000002</v>
      </c>
      <c r="G86">
        <v>2.07496E-2</v>
      </c>
      <c r="H86">
        <v>-19.285900000000002</v>
      </c>
      <c r="K86">
        <f t="shared" si="3"/>
        <v>3.8130330042275249</v>
      </c>
      <c r="L86" s="25">
        <f t="shared" si="4"/>
        <v>1.7590741419062927E-2</v>
      </c>
      <c r="M86">
        <f t="shared" si="5"/>
        <v>5.2772224257188777E-2</v>
      </c>
      <c r="N86" s="26">
        <v>0.3</v>
      </c>
    </row>
    <row r="87" spans="1:14" x14ac:dyDescent="0.25">
      <c r="A87" t="s">
        <v>89</v>
      </c>
      <c r="B87">
        <v>7.9898850000000004E-3</v>
      </c>
      <c r="C87" s="26">
        <v>0.3</v>
      </c>
      <c r="D87">
        <v>0.39370414300000001</v>
      </c>
      <c r="E87">
        <v>1.1499999999999999</v>
      </c>
      <c r="F87" s="25">
        <v>0.461364</v>
      </c>
      <c r="G87">
        <v>3.1046299999999999E-2</v>
      </c>
      <c r="H87">
        <v>-23.5717</v>
      </c>
      <c r="K87">
        <f t="shared" si="3"/>
        <v>3.818902516215636</v>
      </c>
      <c r="L87" s="25">
        <f t="shared" si="4"/>
        <v>1.7619041404913105E-2</v>
      </c>
      <c r="M87">
        <f t="shared" si="5"/>
        <v>5.2857124214739315E-2</v>
      </c>
      <c r="N87" s="26">
        <v>0.3</v>
      </c>
    </row>
    <row r="88" spans="1:14" x14ac:dyDescent="0.25">
      <c r="A88" t="s">
        <v>90</v>
      </c>
      <c r="B88">
        <v>7.9898850000000004E-3</v>
      </c>
      <c r="C88" s="26">
        <v>0.3</v>
      </c>
      <c r="D88">
        <v>0.46528671399999999</v>
      </c>
      <c r="E88">
        <v>1.1499999999999999</v>
      </c>
      <c r="F88" s="25">
        <v>0.46191399999999999</v>
      </c>
      <c r="G88">
        <v>4.3449799999999997E-2</v>
      </c>
      <c r="H88">
        <v>-27.857500000000002</v>
      </c>
      <c r="K88">
        <f t="shared" si="3"/>
        <v>3.822052204581178</v>
      </c>
      <c r="L88" s="25">
        <f t="shared" si="4"/>
        <v>1.7654594220269101E-2</v>
      </c>
      <c r="M88">
        <f t="shared" si="5"/>
        <v>5.2963782660807299E-2</v>
      </c>
      <c r="N88" s="26">
        <v>0.3</v>
      </c>
    </row>
    <row r="89" spans="1:14" x14ac:dyDescent="0.25">
      <c r="A89" t="s">
        <v>91</v>
      </c>
      <c r="B89">
        <v>7.9898850000000004E-3</v>
      </c>
      <c r="C89" s="26">
        <v>0.3</v>
      </c>
      <c r="D89">
        <v>0.53686928599999995</v>
      </c>
      <c r="E89">
        <v>1.1499999999999999</v>
      </c>
      <c r="F89" s="25">
        <v>0.46286899999999997</v>
      </c>
      <c r="G89">
        <v>5.7979599999999999E-2</v>
      </c>
      <c r="H89">
        <v>-32.143300000000004</v>
      </c>
      <c r="K89">
        <f t="shared" si="3"/>
        <v>3.8228779484890474</v>
      </c>
      <c r="L89" s="25">
        <f t="shared" si="4"/>
        <v>1.7694916931391767E-2</v>
      </c>
      <c r="M89">
        <f t="shared" si="5"/>
        <v>5.3084750794175302E-2</v>
      </c>
      <c r="N89" s="26">
        <v>0.3</v>
      </c>
    </row>
    <row r="90" spans="1:14" x14ac:dyDescent="0.25">
      <c r="A90" t="s">
        <v>92</v>
      </c>
      <c r="B90">
        <v>7.9898850000000004E-3</v>
      </c>
      <c r="C90" s="26">
        <v>0.3</v>
      </c>
      <c r="D90">
        <v>0.60845185700000004</v>
      </c>
      <c r="E90">
        <v>1.1499999999999999</v>
      </c>
      <c r="F90" s="25">
        <v>0.46421200000000001</v>
      </c>
      <c r="G90">
        <v>7.4662999999999993E-2</v>
      </c>
      <c r="H90">
        <v>-36.429099999999998</v>
      </c>
      <c r="K90">
        <f t="shared" si="3"/>
        <v>3.8216105405229808</v>
      </c>
      <c r="L90" s="25">
        <f t="shared" si="4"/>
        <v>1.774037472237254E-2</v>
      </c>
      <c r="M90">
        <f t="shared" si="5"/>
        <v>5.322112416711762E-2</v>
      </c>
      <c r="N90" s="26">
        <v>0.3</v>
      </c>
    </row>
    <row r="91" spans="1:14" x14ac:dyDescent="0.25">
      <c r="A91" t="s">
        <v>93</v>
      </c>
      <c r="B91">
        <v>7.9898850000000004E-3</v>
      </c>
      <c r="C91" s="26">
        <v>0.3</v>
      </c>
      <c r="D91">
        <v>0.680034429</v>
      </c>
      <c r="E91">
        <v>1.1499999999999999</v>
      </c>
      <c r="F91" s="25">
        <v>0.46578599999999998</v>
      </c>
      <c r="G91">
        <v>9.3515600000000004E-2</v>
      </c>
      <c r="H91">
        <v>-40.7149</v>
      </c>
      <c r="K91">
        <f t="shared" si="3"/>
        <v>3.8189601400344686</v>
      </c>
      <c r="L91" s="25">
        <f t="shared" si="4"/>
        <v>1.7788181677860948E-2</v>
      </c>
      <c r="M91">
        <f t="shared" si="5"/>
        <v>5.3364545033582844E-2</v>
      </c>
      <c r="N91" s="26">
        <v>0.3</v>
      </c>
    </row>
    <row r="92" spans="1:14" x14ac:dyDescent="0.25">
      <c r="A92" t="s">
        <v>94</v>
      </c>
      <c r="B92">
        <v>7.9898850000000004E-3</v>
      </c>
      <c r="C92" s="26">
        <v>0.3</v>
      </c>
      <c r="D92">
        <v>0.75161699999999998</v>
      </c>
      <c r="E92">
        <v>1.1499999999999999</v>
      </c>
      <c r="F92" s="25">
        <v>0.46745399999999998</v>
      </c>
      <c r="G92">
        <v>0.114547</v>
      </c>
      <c r="H92">
        <v>-45.000700000000002</v>
      </c>
      <c r="K92">
        <f t="shared" si="3"/>
        <v>3.8155797647320493</v>
      </c>
      <c r="L92" s="25">
        <f t="shared" si="4"/>
        <v>1.7836080233430553E-2</v>
      </c>
      <c r="M92">
        <f t="shared" si="5"/>
        <v>5.3508240700291657E-2</v>
      </c>
      <c r="N92" s="26">
        <v>0.3</v>
      </c>
    </row>
    <row r="93" spans="1:14" x14ac:dyDescent="0.25">
      <c r="A93" t="s">
        <v>95</v>
      </c>
      <c r="B93">
        <v>7.9898850000000004E-3</v>
      </c>
      <c r="C93" s="26">
        <v>0.3</v>
      </c>
      <c r="D93">
        <v>3.7795409000000002E-2</v>
      </c>
      <c r="E93">
        <v>1.145</v>
      </c>
      <c r="F93" s="22">
        <v>0.432139</v>
      </c>
      <c r="G93">
        <v>2.6375200000000002E-4</v>
      </c>
      <c r="H93">
        <v>-2.2726500000000001</v>
      </c>
      <c r="K93">
        <f t="shared" si="3"/>
        <v>3.7424307661608274</v>
      </c>
      <c r="L93" s="22">
        <f t="shared" si="4"/>
        <v>1.6172502888579736E-2</v>
      </c>
      <c r="M93">
        <f t="shared" si="5"/>
        <v>4.8517508665739208E-2</v>
      </c>
      <c r="N93" s="26">
        <v>0.3</v>
      </c>
    </row>
    <row r="94" spans="1:14" x14ac:dyDescent="0.25">
      <c r="A94" t="s">
        <v>96</v>
      </c>
      <c r="B94">
        <v>7.9898850000000004E-3</v>
      </c>
      <c r="C94" s="26">
        <v>0.3</v>
      </c>
      <c r="D94">
        <v>7.5590818000000004E-2</v>
      </c>
      <c r="E94">
        <v>1.145</v>
      </c>
      <c r="F94" s="22">
        <v>0.46276200000000001</v>
      </c>
      <c r="G94">
        <v>1.1425599999999999E-3</v>
      </c>
      <c r="H94">
        <v>-4.5454100000000004</v>
      </c>
      <c r="K94">
        <f t="shared" si="3"/>
        <v>3.7846157342112337</v>
      </c>
      <c r="L94" s="22">
        <f t="shared" si="4"/>
        <v>1.7513763463950588E-2</v>
      </c>
      <c r="M94">
        <f t="shared" si="5"/>
        <v>5.2541290391851764E-2</v>
      </c>
      <c r="N94" s="26">
        <v>0.3</v>
      </c>
    </row>
    <row r="95" spans="1:14" x14ac:dyDescent="0.25">
      <c r="A95" t="s">
        <v>97</v>
      </c>
      <c r="B95">
        <v>7.9898850000000004E-3</v>
      </c>
      <c r="C95" s="26">
        <v>0.3</v>
      </c>
      <c r="D95">
        <v>0.11338622700000001</v>
      </c>
      <c r="E95">
        <v>1.145</v>
      </c>
      <c r="F95" s="22">
        <v>0.46227299999999999</v>
      </c>
      <c r="G95">
        <v>2.5744399999999999E-3</v>
      </c>
      <c r="H95">
        <v>-6.8181700000000003</v>
      </c>
      <c r="K95">
        <f t="shared" si="3"/>
        <v>3.7939812977626644</v>
      </c>
      <c r="L95" s="22">
        <f t="shared" si="4"/>
        <v>1.7538551164606401E-2</v>
      </c>
      <c r="M95">
        <f t="shared" si="5"/>
        <v>5.2615653493819206E-2</v>
      </c>
      <c r="N95" s="26">
        <v>0.3</v>
      </c>
    </row>
    <row r="96" spans="1:14" x14ac:dyDescent="0.25">
      <c r="A96" t="s">
        <v>98</v>
      </c>
      <c r="B96">
        <v>7.9898850000000004E-3</v>
      </c>
      <c r="C96" s="26">
        <v>0.3</v>
      </c>
      <c r="D96">
        <v>0.15118163600000001</v>
      </c>
      <c r="E96">
        <v>1.145</v>
      </c>
      <c r="F96" s="22">
        <v>0.462169</v>
      </c>
      <c r="G96">
        <v>4.5794499999999997E-3</v>
      </c>
      <c r="H96">
        <v>-9.0909399999999998</v>
      </c>
      <c r="K96">
        <f t="shared" si="3"/>
        <v>3.7970080447240018</v>
      </c>
      <c r="L96" s="22">
        <f t="shared" si="4"/>
        <v>1.7548594110220472E-2</v>
      </c>
      <c r="M96">
        <f t="shared" si="5"/>
        <v>5.2645782330661417E-2</v>
      </c>
      <c r="N96" s="26">
        <v>0.3</v>
      </c>
    </row>
    <row r="97" spans="1:14" x14ac:dyDescent="0.25">
      <c r="A97" t="s">
        <v>99</v>
      </c>
      <c r="B97">
        <v>7.9898850000000004E-3</v>
      </c>
      <c r="C97" s="26">
        <v>0.3</v>
      </c>
      <c r="D97">
        <v>0.18897704500000001</v>
      </c>
      <c r="E97">
        <v>1.145</v>
      </c>
      <c r="F97" s="22">
        <v>0.461816</v>
      </c>
      <c r="G97">
        <v>7.1560399999999998E-3</v>
      </c>
      <c r="H97">
        <v>-11.3637</v>
      </c>
      <c r="K97">
        <f t="shared" si="3"/>
        <v>3.8002385110037387</v>
      </c>
      <c r="L97" s="22">
        <f t="shared" si="4"/>
        <v>1.7550109481977025E-2</v>
      </c>
      <c r="M97">
        <f t="shared" si="5"/>
        <v>5.265032844593108E-2</v>
      </c>
      <c r="N97" s="26">
        <v>0.3</v>
      </c>
    </row>
    <row r="98" spans="1:14" x14ac:dyDescent="0.25">
      <c r="A98" t="s">
        <v>100</v>
      </c>
      <c r="B98">
        <v>7.9898850000000004E-3</v>
      </c>
      <c r="C98" s="26">
        <v>0.3</v>
      </c>
      <c r="D98">
        <v>0.22677245500000001</v>
      </c>
      <c r="E98">
        <v>1.145</v>
      </c>
      <c r="F98" s="22">
        <v>0.46169500000000002</v>
      </c>
      <c r="G98">
        <v>1.0310400000000001E-2</v>
      </c>
      <c r="H98">
        <v>-13.6365</v>
      </c>
      <c r="K98">
        <f t="shared" si="3"/>
        <v>3.8033045222341397</v>
      </c>
      <c r="L98" s="22">
        <f t="shared" si="4"/>
        <v>1.7559666813928912E-2</v>
      </c>
      <c r="M98">
        <f t="shared" si="5"/>
        <v>5.2679000441786736E-2</v>
      </c>
      <c r="N98" s="26">
        <v>0.3</v>
      </c>
    </row>
    <row r="99" spans="1:14" x14ac:dyDescent="0.25">
      <c r="A99" t="s">
        <v>101</v>
      </c>
      <c r="B99">
        <v>7.9898850000000004E-3</v>
      </c>
      <c r="C99" s="26">
        <v>0.3</v>
      </c>
      <c r="D99">
        <v>0.26456786399999999</v>
      </c>
      <c r="E99">
        <v>1.145</v>
      </c>
      <c r="F99" s="22">
        <v>0.46158100000000002</v>
      </c>
      <c r="G99">
        <v>1.40435E-2</v>
      </c>
      <c r="H99">
        <v>-15.9093</v>
      </c>
      <c r="K99">
        <f t="shared" si="3"/>
        <v>3.8069036259489626</v>
      </c>
      <c r="L99" s="22">
        <f t="shared" si="4"/>
        <v>1.757194382569148E-2</v>
      </c>
      <c r="M99">
        <f t="shared" si="5"/>
        <v>5.271583147707444E-2</v>
      </c>
      <c r="N99" s="26">
        <v>0.3</v>
      </c>
    </row>
    <row r="100" spans="1:14" x14ac:dyDescent="0.25">
      <c r="A100" t="s">
        <v>102</v>
      </c>
      <c r="B100">
        <v>7.9898850000000004E-3</v>
      </c>
      <c r="C100" s="26">
        <v>0.3</v>
      </c>
      <c r="D100">
        <v>0.30236327299999999</v>
      </c>
      <c r="E100">
        <v>1.145</v>
      </c>
      <c r="F100" s="22">
        <v>0.46138299999999999</v>
      </c>
      <c r="G100">
        <v>1.8354599999999999E-2</v>
      </c>
      <c r="H100">
        <v>-18.181999999999999</v>
      </c>
      <c r="K100">
        <f t="shared" si="3"/>
        <v>3.81106731093162</v>
      </c>
      <c r="L100" s="22">
        <f t="shared" si="4"/>
        <v>1.7583616691195635E-2</v>
      </c>
      <c r="M100">
        <f t="shared" si="5"/>
        <v>5.2750850073586902E-2</v>
      </c>
      <c r="N100" s="26">
        <v>0.3</v>
      </c>
    </row>
    <row r="101" spans="1:14" x14ac:dyDescent="0.25">
      <c r="A101" t="s">
        <v>103</v>
      </c>
      <c r="B101">
        <v>7.9898850000000004E-3</v>
      </c>
      <c r="C101" s="26">
        <v>0.3</v>
      </c>
      <c r="D101">
        <v>0.34015868199999999</v>
      </c>
      <c r="E101">
        <v>1.145</v>
      </c>
      <c r="F101" s="22">
        <v>0.461337</v>
      </c>
      <c r="G101">
        <v>2.3249200000000001E-2</v>
      </c>
      <c r="H101">
        <v>-20.454799999999999</v>
      </c>
      <c r="K101">
        <f t="shared" si="3"/>
        <v>3.8145722209580719</v>
      </c>
      <c r="L101" s="22">
        <f t="shared" si="4"/>
        <v>1.7598033047001339E-2</v>
      </c>
      <c r="M101">
        <f t="shared" si="5"/>
        <v>5.2794099141004018E-2</v>
      </c>
      <c r="N101" s="26">
        <v>0.3</v>
      </c>
    </row>
    <row r="102" spans="1:14" x14ac:dyDescent="0.25">
      <c r="A102" t="s">
        <v>104</v>
      </c>
      <c r="B102">
        <v>7.9898850000000004E-3</v>
      </c>
      <c r="C102" s="26">
        <v>0.3</v>
      </c>
      <c r="D102">
        <v>0.37795409099999999</v>
      </c>
      <c r="E102">
        <v>1.145</v>
      </c>
      <c r="F102" s="22">
        <v>0.46135199999999998</v>
      </c>
      <c r="G102">
        <v>2.8727200000000001E-2</v>
      </c>
      <c r="H102">
        <v>-22.727599999999999</v>
      </c>
      <c r="K102">
        <f t="shared" si="3"/>
        <v>3.8176870612834763</v>
      </c>
      <c r="L102" s="22">
        <f t="shared" si="4"/>
        <v>1.7612975610972543E-2</v>
      </c>
      <c r="M102">
        <f t="shared" si="5"/>
        <v>5.2838926832917632E-2</v>
      </c>
      <c r="N102" s="26">
        <v>0.3</v>
      </c>
    </row>
    <row r="103" spans="1:14" x14ac:dyDescent="0.25">
      <c r="A103" t="s">
        <v>105</v>
      </c>
      <c r="B103">
        <v>7.9898850000000004E-3</v>
      </c>
      <c r="C103" s="26">
        <v>0.3</v>
      </c>
      <c r="D103">
        <v>0.41574949999999999</v>
      </c>
      <c r="E103">
        <v>1.145</v>
      </c>
      <c r="F103" s="22">
        <v>0.46144800000000002</v>
      </c>
      <c r="G103">
        <v>3.4790599999999998E-2</v>
      </c>
      <c r="H103">
        <v>-25.000299999999999</v>
      </c>
      <c r="K103">
        <f t="shared" si="3"/>
        <v>3.8202809308444179</v>
      </c>
      <c r="L103" s="22">
        <f t="shared" si="4"/>
        <v>1.7628609949762949E-2</v>
      </c>
      <c r="M103">
        <f t="shared" si="5"/>
        <v>5.2885829849288843E-2</v>
      </c>
      <c r="N103" s="26">
        <v>0.3</v>
      </c>
    </row>
    <row r="104" spans="1:14" x14ac:dyDescent="0.25">
      <c r="A104" t="s">
        <v>106</v>
      </c>
      <c r="B104">
        <v>1.0272059E-2</v>
      </c>
      <c r="C104" s="26">
        <v>0.4</v>
      </c>
      <c r="D104">
        <v>0.93302176000000003</v>
      </c>
      <c r="E104">
        <v>1.1679999999999999</v>
      </c>
      <c r="F104" s="18">
        <v>0.57462000000000002</v>
      </c>
      <c r="G104">
        <v>0.26022099999999998</v>
      </c>
      <c r="H104">
        <v>-55.000900000000001</v>
      </c>
      <c r="K104">
        <f t="shared" si="3"/>
        <v>4.6476267833256673</v>
      </c>
      <c r="L104" s="18">
        <f t="shared" si="4"/>
        <v>2.6706193022345951E-2</v>
      </c>
      <c r="M104">
        <f t="shared" si="5"/>
        <v>8.0118579067037857E-2</v>
      </c>
      <c r="N104" s="26">
        <v>0.4</v>
      </c>
    </row>
    <row r="105" spans="1:14" x14ac:dyDescent="0.25">
      <c r="A105" t="s">
        <v>107</v>
      </c>
      <c r="B105">
        <v>1.0272059E-2</v>
      </c>
      <c r="C105" s="26">
        <v>0.4</v>
      </c>
      <c r="D105">
        <v>1.074388693</v>
      </c>
      <c r="E105">
        <v>1.1679999999999999</v>
      </c>
      <c r="F105" s="18">
        <v>0.57656600000000002</v>
      </c>
      <c r="G105">
        <v>0.34582499999999999</v>
      </c>
      <c r="H105">
        <v>-63.334299999999999</v>
      </c>
      <c r="K105">
        <f t="shared" si="3"/>
        <v>4.6423581400787857</v>
      </c>
      <c r="L105" s="18">
        <f t="shared" si="4"/>
        <v>2.6766258633926648E-2</v>
      </c>
      <c r="M105">
        <f t="shared" si="5"/>
        <v>8.0298775901779945E-2</v>
      </c>
      <c r="N105" s="26">
        <v>0.4</v>
      </c>
    </row>
    <row r="106" spans="1:14" x14ac:dyDescent="0.25">
      <c r="A106" t="s">
        <v>108</v>
      </c>
      <c r="B106">
        <v>1.0272059E-2</v>
      </c>
      <c r="C106" s="26">
        <v>0.4</v>
      </c>
      <c r="D106">
        <v>1.2157556270000001</v>
      </c>
      <c r="E106">
        <v>1.1679999999999999</v>
      </c>
      <c r="F106" s="18">
        <v>0.57835300000000001</v>
      </c>
      <c r="G106">
        <v>0.443714</v>
      </c>
      <c r="H106">
        <v>-71.6678</v>
      </c>
      <c r="K106">
        <f t="shared" si="3"/>
        <v>4.6373644373333969</v>
      </c>
      <c r="L106" s="18">
        <f t="shared" si="4"/>
        <v>2.6820336344250819E-2</v>
      </c>
      <c r="M106">
        <f t="shared" si="5"/>
        <v>8.0461009032752454E-2</v>
      </c>
      <c r="N106" s="26">
        <v>0.4</v>
      </c>
    </row>
    <row r="107" spans="1:14" x14ac:dyDescent="0.25">
      <c r="A107" t="s">
        <v>109</v>
      </c>
      <c r="B107">
        <v>1.0272059E-2</v>
      </c>
      <c r="C107" s="26">
        <v>0.4</v>
      </c>
      <c r="D107">
        <v>1.3571225600000001</v>
      </c>
      <c r="E107">
        <v>1.1679999999999999</v>
      </c>
      <c r="F107" s="18">
        <v>0.579924</v>
      </c>
      <c r="G107">
        <v>0.553871</v>
      </c>
      <c r="H107">
        <v>-80.001300000000001</v>
      </c>
      <c r="K107">
        <f t="shared" si="3"/>
        <v>4.6328974823791063</v>
      </c>
      <c r="L107" s="18">
        <f t="shared" si="4"/>
        <v>2.6867284395712211E-2</v>
      </c>
      <c r="M107">
        <f t="shared" si="5"/>
        <v>8.0601853187136641E-2</v>
      </c>
      <c r="N107" s="26">
        <v>0.4</v>
      </c>
    </row>
    <row r="108" spans="1:14" x14ac:dyDescent="0.25">
      <c r="A108" t="s">
        <v>110</v>
      </c>
      <c r="B108">
        <v>1.0272059E-2</v>
      </c>
      <c r="C108" s="26">
        <v>0.4</v>
      </c>
      <c r="D108">
        <v>0.75945996000000004</v>
      </c>
      <c r="E108">
        <v>1.1619999999999999</v>
      </c>
      <c r="F108" s="20">
        <v>0.57190700000000005</v>
      </c>
      <c r="G108">
        <v>0.17274900000000001</v>
      </c>
      <c r="H108">
        <v>-45.000700000000002</v>
      </c>
      <c r="K108">
        <f t="shared" si="3"/>
        <v>4.6547626401945417</v>
      </c>
      <c r="L108" s="20">
        <f t="shared" si="4"/>
        <v>2.6620913372657401E-2</v>
      </c>
      <c r="M108">
        <f t="shared" si="5"/>
        <v>7.9862740117972203E-2</v>
      </c>
      <c r="N108" s="26">
        <v>0.4</v>
      </c>
    </row>
    <row r="109" spans="1:14" x14ac:dyDescent="0.25">
      <c r="A109" t="s">
        <v>111</v>
      </c>
      <c r="B109">
        <v>1.0272059E-2</v>
      </c>
      <c r="C109" s="26">
        <v>0.4</v>
      </c>
      <c r="D109">
        <v>0.87197254700000004</v>
      </c>
      <c r="E109">
        <v>1.1619999999999999</v>
      </c>
      <c r="F109" s="20">
        <v>0.57371300000000003</v>
      </c>
      <c r="G109">
        <v>0.228214</v>
      </c>
      <c r="H109">
        <v>-51.667499999999997</v>
      </c>
      <c r="K109">
        <f t="shared" si="3"/>
        <v>4.6500609453110808</v>
      </c>
      <c r="L109" s="20">
        <f t="shared" si="4"/>
        <v>2.6678004151172566E-2</v>
      </c>
      <c r="M109">
        <f t="shared" si="5"/>
        <v>8.0034012453517697E-2</v>
      </c>
      <c r="N109" s="26">
        <v>0.4</v>
      </c>
    </row>
    <row r="110" spans="1:14" x14ac:dyDescent="0.25">
      <c r="A110" t="s">
        <v>112</v>
      </c>
      <c r="B110">
        <v>1.0272059E-2</v>
      </c>
      <c r="C110" s="26">
        <v>0.4</v>
      </c>
      <c r="D110">
        <v>0.98448513299999996</v>
      </c>
      <c r="E110">
        <v>1.1619999999999999</v>
      </c>
      <c r="F110" s="20">
        <v>0.57534200000000002</v>
      </c>
      <c r="G110">
        <v>0.29146</v>
      </c>
      <c r="H110">
        <v>-58.334299999999999</v>
      </c>
      <c r="K110">
        <f t="shared" si="3"/>
        <v>4.6456966607065127</v>
      </c>
      <c r="L110" s="20">
        <f t="shared" si="4"/>
        <v>2.6728644081642064E-2</v>
      </c>
      <c r="M110">
        <f t="shared" si="5"/>
        <v>8.0185932244926192E-2</v>
      </c>
      <c r="N110" s="26">
        <v>0.4</v>
      </c>
    </row>
    <row r="111" spans="1:14" x14ac:dyDescent="0.25">
      <c r="A111" t="s">
        <v>113</v>
      </c>
      <c r="B111">
        <v>1.0272059E-2</v>
      </c>
      <c r="C111" s="26">
        <v>0.4</v>
      </c>
      <c r="D111">
        <v>1.0969977200000001</v>
      </c>
      <c r="E111">
        <v>1.1619999999999999</v>
      </c>
      <c r="F111" s="20">
        <v>0.57686700000000002</v>
      </c>
      <c r="G111">
        <v>0.36251899999999998</v>
      </c>
      <c r="H111">
        <v>-65.001000000000005</v>
      </c>
      <c r="K111">
        <f t="shared" si="3"/>
        <v>4.6415277428363595</v>
      </c>
      <c r="L111" s="20">
        <f t="shared" si="4"/>
        <v>2.6775441844267826E-2</v>
      </c>
      <c r="M111">
        <f t="shared" si="5"/>
        <v>8.0326325532803472E-2</v>
      </c>
      <c r="N111" s="26">
        <v>0.4</v>
      </c>
    </row>
    <row r="112" spans="1:14" x14ac:dyDescent="0.25">
      <c r="A112" t="s">
        <v>114</v>
      </c>
      <c r="B112">
        <v>1.0272059E-2</v>
      </c>
      <c r="C112" s="26">
        <v>0.4</v>
      </c>
      <c r="D112">
        <v>0.58764103999999995</v>
      </c>
      <c r="E112">
        <v>1.1559999999999999</v>
      </c>
      <c r="F112" s="21">
        <v>0.569187</v>
      </c>
      <c r="G112">
        <v>0.103607</v>
      </c>
      <c r="H112">
        <v>-35.000500000000002</v>
      </c>
      <c r="K112">
        <f t="shared" si="3"/>
        <v>4.6610082555261538</v>
      </c>
      <c r="L112" s="21">
        <f t="shared" si="4"/>
        <v>2.6529853059381651E-2</v>
      </c>
      <c r="M112">
        <f t="shared" si="5"/>
        <v>7.9589559178144947E-2</v>
      </c>
      <c r="N112" s="26">
        <v>0.4</v>
      </c>
    </row>
    <row r="113" spans="1:14" x14ac:dyDescent="0.25">
      <c r="A113" t="s">
        <v>115</v>
      </c>
      <c r="B113">
        <v>1.0272059E-2</v>
      </c>
      <c r="C113" s="26">
        <v>0.4</v>
      </c>
      <c r="D113">
        <v>0.65480001600000004</v>
      </c>
      <c r="E113">
        <v>1.1559999999999999</v>
      </c>
      <c r="F113" s="21">
        <v>0.57022899999999999</v>
      </c>
      <c r="G113">
        <v>0.12881500000000001</v>
      </c>
      <c r="H113">
        <v>-39.000599999999999</v>
      </c>
      <c r="K113">
        <f t="shared" si="3"/>
        <v>4.6587435405341253</v>
      </c>
      <c r="L113" s="21">
        <f t="shared" si="4"/>
        <v>2.656550670375234E-2</v>
      </c>
      <c r="M113">
        <f t="shared" si="5"/>
        <v>7.9696520111257024E-2</v>
      </c>
      <c r="N113" s="26">
        <v>0.4</v>
      </c>
    </row>
    <row r="114" spans="1:14" x14ac:dyDescent="0.25">
      <c r="A114" t="s">
        <v>116</v>
      </c>
      <c r="B114">
        <v>1.0272059E-2</v>
      </c>
      <c r="C114" s="26">
        <v>0.4</v>
      </c>
      <c r="D114">
        <v>0.72195899200000002</v>
      </c>
      <c r="E114">
        <v>1.1559999999999999</v>
      </c>
      <c r="F114" s="21">
        <v>0.57130999999999998</v>
      </c>
      <c r="G114">
        <v>0.156805</v>
      </c>
      <c r="H114">
        <v>-43.000599999999999</v>
      </c>
      <c r="K114">
        <f t="shared" si="3"/>
        <v>4.656217866812935</v>
      </c>
      <c r="L114" s="21">
        <f t="shared" si="4"/>
        <v>2.6601438294888979E-2</v>
      </c>
      <c r="M114">
        <f t="shared" si="5"/>
        <v>7.9804314884666938E-2</v>
      </c>
      <c r="N114" s="26">
        <v>0.4</v>
      </c>
    </row>
    <row r="115" spans="1:14" x14ac:dyDescent="0.25">
      <c r="A115" t="s">
        <v>117</v>
      </c>
      <c r="B115">
        <v>1.0272059E-2</v>
      </c>
      <c r="C115" s="26">
        <v>0.4</v>
      </c>
      <c r="D115">
        <v>0.789117968</v>
      </c>
      <c r="E115">
        <v>1.1559999999999999</v>
      </c>
      <c r="F115" s="21">
        <v>0.57238999999999995</v>
      </c>
      <c r="G115">
        <v>0.187582</v>
      </c>
      <c r="H115">
        <v>-47.000700000000002</v>
      </c>
      <c r="K115">
        <f t="shared" si="3"/>
        <v>4.6535535406534922</v>
      </c>
      <c r="L115" s="21">
        <f t="shared" si="4"/>
        <v>2.6636475111346525E-2</v>
      </c>
      <c r="M115">
        <f t="shared" si="5"/>
        <v>7.990942533403958E-2</v>
      </c>
      <c r="N115" s="26">
        <v>0.4</v>
      </c>
    </row>
    <row r="116" spans="1:14" x14ac:dyDescent="0.25">
      <c r="A116" t="s">
        <v>118</v>
      </c>
      <c r="B116">
        <v>1.0272059E-2</v>
      </c>
      <c r="C116" s="26">
        <v>0.4</v>
      </c>
      <c r="D116">
        <v>0.85627694399999998</v>
      </c>
      <c r="E116">
        <v>1.1559999999999999</v>
      </c>
      <c r="F116" s="21">
        <v>0.57347000000000004</v>
      </c>
      <c r="G116">
        <v>0.22115199999999999</v>
      </c>
      <c r="H116">
        <v>-51.000799999999998</v>
      </c>
      <c r="K116">
        <f t="shared" si="3"/>
        <v>4.6507225744762719</v>
      </c>
      <c r="L116" s="21">
        <f t="shared" si="4"/>
        <v>2.6670498747849079E-2</v>
      </c>
      <c r="M116">
        <f t="shared" si="5"/>
        <v>8.0011496243547239E-2</v>
      </c>
      <c r="N116" s="26">
        <v>0.4</v>
      </c>
    </row>
    <row r="117" spans="1:14" x14ac:dyDescent="0.25">
      <c r="A117" t="s">
        <v>119</v>
      </c>
      <c r="B117">
        <v>1.0272059E-2</v>
      </c>
      <c r="C117" s="26">
        <v>0.4</v>
      </c>
      <c r="D117">
        <v>0.92343591999999997</v>
      </c>
      <c r="E117">
        <v>1.1559999999999999</v>
      </c>
      <c r="F117" s="21">
        <v>0.57448200000000005</v>
      </c>
      <c r="G117">
        <v>0.25750600000000001</v>
      </c>
      <c r="H117">
        <v>-55.000900000000001</v>
      </c>
      <c r="K117">
        <f t="shared" si="3"/>
        <v>4.6479942045748697</v>
      </c>
      <c r="L117" s="21">
        <f t="shared" si="4"/>
        <v>2.6701890066325805E-2</v>
      </c>
      <c r="M117">
        <f t="shared" si="5"/>
        <v>8.0105670198977408E-2</v>
      </c>
      <c r="N117" s="26">
        <v>0.4</v>
      </c>
    </row>
    <row r="118" spans="1:14" x14ac:dyDescent="0.25">
      <c r="A118" t="s">
        <v>120</v>
      </c>
      <c r="B118">
        <v>1.0272059E-2</v>
      </c>
      <c r="C118" s="26">
        <v>0.4</v>
      </c>
      <c r="D118">
        <v>0.25053900000000001</v>
      </c>
      <c r="E118">
        <v>1.1499999999999999</v>
      </c>
      <c r="F118" s="25">
        <v>0.56652800000000003</v>
      </c>
      <c r="G118">
        <v>1.8830599999999999E-2</v>
      </c>
      <c r="H118">
        <v>-15.0001</v>
      </c>
      <c r="K118">
        <f t="shared" si="3"/>
        <v>4.6580989189707944</v>
      </c>
      <c r="L118" s="25">
        <f t="shared" si="4"/>
        <v>2.6389434643666863E-2</v>
      </c>
      <c r="M118">
        <f t="shared" si="5"/>
        <v>7.9168303931000591E-2</v>
      </c>
      <c r="N118" s="26">
        <v>0.4</v>
      </c>
    </row>
    <row r="119" spans="1:14" x14ac:dyDescent="0.25">
      <c r="A119" t="s">
        <v>121</v>
      </c>
      <c r="B119">
        <v>1.0272059E-2</v>
      </c>
      <c r="C119" s="26">
        <v>0.4</v>
      </c>
      <c r="D119">
        <v>0.322121571</v>
      </c>
      <c r="E119">
        <v>1.1499999999999999</v>
      </c>
      <c r="F119" s="25">
        <v>0.56712799999999997</v>
      </c>
      <c r="G119">
        <v>3.1169700000000002E-2</v>
      </c>
      <c r="H119">
        <v>-19.285900000000002</v>
      </c>
      <c r="K119">
        <f t="shared" si="3"/>
        <v>4.6593565806531876</v>
      </c>
      <c r="L119" s="25">
        <f t="shared" si="4"/>
        <v>2.6424515788726805E-2</v>
      </c>
      <c r="M119">
        <f t="shared" si="5"/>
        <v>7.9273547366180419E-2</v>
      </c>
      <c r="N119" s="26">
        <v>0.4</v>
      </c>
    </row>
    <row r="120" spans="1:14" x14ac:dyDescent="0.25">
      <c r="A120" t="s">
        <v>122</v>
      </c>
      <c r="B120">
        <v>1.0272059E-2</v>
      </c>
      <c r="C120" s="26">
        <v>0.4</v>
      </c>
      <c r="D120">
        <v>0.39370414300000001</v>
      </c>
      <c r="E120">
        <v>1.1499999999999999</v>
      </c>
      <c r="F120" s="25">
        <v>0.56732199999999999</v>
      </c>
      <c r="G120">
        <v>4.6602499999999998E-2</v>
      </c>
      <c r="H120">
        <v>-23.5717</v>
      </c>
      <c r="K120">
        <f t="shared" si="3"/>
        <v>4.6617825971321336</v>
      </c>
      <c r="L120" s="25">
        <f t="shared" si="4"/>
        <v>2.6447318265701965E-2</v>
      </c>
      <c r="M120">
        <f t="shared" si="5"/>
        <v>7.9341954797105901E-2</v>
      </c>
      <c r="N120" s="26">
        <v>0.4</v>
      </c>
    </row>
    <row r="121" spans="1:14" x14ac:dyDescent="0.25">
      <c r="A121" t="s">
        <v>123</v>
      </c>
      <c r="B121">
        <v>1.0272059E-2</v>
      </c>
      <c r="C121" s="26">
        <v>0.4</v>
      </c>
      <c r="D121">
        <v>0.46528671399999999</v>
      </c>
      <c r="E121">
        <v>1.1499999999999999</v>
      </c>
      <c r="F121" s="25">
        <v>0.56767999999999996</v>
      </c>
      <c r="G121">
        <v>6.5148200000000003E-2</v>
      </c>
      <c r="H121">
        <v>-27.857500000000002</v>
      </c>
      <c r="K121">
        <f t="shared" si="3"/>
        <v>4.663036183555076</v>
      </c>
      <c r="L121" s="25">
        <f t="shared" si="4"/>
        <v>2.6471123806805451E-2</v>
      </c>
      <c r="M121">
        <f t="shared" si="5"/>
        <v>7.9413371420416351E-2</v>
      </c>
      <c r="N121" s="26">
        <v>0.4</v>
      </c>
    </row>
    <row r="122" spans="1:14" x14ac:dyDescent="0.25">
      <c r="A122" t="s">
        <v>124</v>
      </c>
      <c r="B122">
        <v>1.0272059E-2</v>
      </c>
      <c r="C122" s="26">
        <v>0.4</v>
      </c>
      <c r="D122">
        <v>0.53686928599999995</v>
      </c>
      <c r="E122">
        <v>1.1499999999999999</v>
      </c>
      <c r="F122" s="25">
        <v>0.56845900000000005</v>
      </c>
      <c r="G122">
        <v>8.6841799999999997E-2</v>
      </c>
      <c r="H122">
        <v>-32.143300000000004</v>
      </c>
      <c r="K122">
        <f t="shared" si="3"/>
        <v>4.6623297164468012</v>
      </c>
      <c r="L122" s="25">
        <f t="shared" si="4"/>
        <v>2.6503432882816324E-2</v>
      </c>
      <c r="M122">
        <f t="shared" si="5"/>
        <v>7.9510298648448968E-2</v>
      </c>
      <c r="N122" s="26">
        <v>0.4</v>
      </c>
    </row>
    <row r="123" spans="1:14" x14ac:dyDescent="0.25">
      <c r="A123" t="s">
        <v>125</v>
      </c>
      <c r="B123">
        <v>1.0272059E-2</v>
      </c>
      <c r="C123" s="26">
        <v>0.4</v>
      </c>
      <c r="D123">
        <v>0.60845185700000004</v>
      </c>
      <c r="E123">
        <v>1.1499999999999999</v>
      </c>
      <c r="F123" s="25">
        <v>0.56950800000000001</v>
      </c>
      <c r="G123">
        <v>0.111702</v>
      </c>
      <c r="H123">
        <v>-36.429099999999998</v>
      </c>
      <c r="K123">
        <f t="shared" si="3"/>
        <v>4.6603493430490781</v>
      </c>
      <c r="L123" s="25">
        <f t="shared" si="4"/>
        <v>2.6541062336611944E-2</v>
      </c>
      <c r="M123">
        <f t="shared" si="5"/>
        <v>7.9623187009835839E-2</v>
      </c>
      <c r="N123" s="26">
        <v>0.4</v>
      </c>
    </row>
    <row r="124" spans="1:14" x14ac:dyDescent="0.25">
      <c r="A124" t="s">
        <v>126</v>
      </c>
      <c r="B124">
        <v>1.0272059E-2</v>
      </c>
      <c r="C124" s="26">
        <v>0.4</v>
      </c>
      <c r="D124">
        <v>0.680034429</v>
      </c>
      <c r="E124">
        <v>1.1499999999999999</v>
      </c>
      <c r="F124" s="25">
        <v>0.570627</v>
      </c>
      <c r="G124">
        <v>0.13972999999999999</v>
      </c>
      <c r="H124">
        <v>-40.7149</v>
      </c>
      <c r="K124">
        <f t="shared" si="3"/>
        <v>4.6578428703874621</v>
      </c>
      <c r="L124" s="25">
        <f t="shared" si="4"/>
        <v>2.6578909036005863E-2</v>
      </c>
      <c r="M124">
        <f t="shared" si="5"/>
        <v>7.9736727108017588E-2</v>
      </c>
      <c r="N124" s="26">
        <v>0.4</v>
      </c>
    </row>
    <row r="125" spans="1:14" x14ac:dyDescent="0.25">
      <c r="A125" t="s">
        <v>127</v>
      </c>
      <c r="B125">
        <v>1.0272059E-2</v>
      </c>
      <c r="C125" s="26">
        <v>0.4</v>
      </c>
      <c r="D125">
        <v>0.75161699999999998</v>
      </c>
      <c r="E125">
        <v>1.1499999999999999</v>
      </c>
      <c r="F125" s="25">
        <v>0.57178200000000001</v>
      </c>
      <c r="G125">
        <v>0.17093900000000001</v>
      </c>
      <c r="H125">
        <v>-45.000700000000002</v>
      </c>
      <c r="K125">
        <f t="shared" si="3"/>
        <v>4.655071730161028</v>
      </c>
      <c r="L125" s="25">
        <f t="shared" si="4"/>
        <v>2.6616862240149333E-2</v>
      </c>
      <c r="M125">
        <f t="shared" si="5"/>
        <v>7.9850586720447994E-2</v>
      </c>
      <c r="N125" s="26">
        <v>0.4</v>
      </c>
    </row>
    <row r="126" spans="1:14" x14ac:dyDescent="0.25">
      <c r="A126" t="s">
        <v>128</v>
      </c>
      <c r="B126">
        <v>1.0272059E-2</v>
      </c>
      <c r="C126" s="26">
        <v>0.4</v>
      </c>
      <c r="D126">
        <v>3.7795409000000002E-2</v>
      </c>
      <c r="E126">
        <v>1.145</v>
      </c>
      <c r="F126" s="22">
        <v>0.54025100000000004</v>
      </c>
      <c r="G126">
        <v>4.1810799999999999E-4</v>
      </c>
      <c r="H126">
        <v>-2.2726500000000001</v>
      </c>
      <c r="K126">
        <f t="shared" si="3"/>
        <v>4.745416912831061</v>
      </c>
      <c r="L126" s="22">
        <f t="shared" si="4"/>
        <v>2.5637162325738937E-2</v>
      </c>
      <c r="M126">
        <f t="shared" si="5"/>
        <v>7.6911486977216809E-2</v>
      </c>
      <c r="N126" s="26">
        <v>0.4</v>
      </c>
    </row>
    <row r="127" spans="1:14" x14ac:dyDescent="0.25">
      <c r="A127" t="s">
        <v>129</v>
      </c>
      <c r="B127">
        <v>1.0272059E-2</v>
      </c>
      <c r="C127" s="26">
        <v>0.4</v>
      </c>
      <c r="D127">
        <v>7.5590818000000004E-2</v>
      </c>
      <c r="E127">
        <v>1.145</v>
      </c>
      <c r="F127" s="22">
        <v>0.56481199999999998</v>
      </c>
      <c r="G127">
        <v>1.7213199999999999E-3</v>
      </c>
      <c r="H127">
        <v>-4.5453999999999999</v>
      </c>
      <c r="K127">
        <f t="shared" si="3"/>
        <v>4.6715400320056641</v>
      </c>
      <c r="L127" s="22">
        <f t="shared" si="4"/>
        <v>2.6385418685571833E-2</v>
      </c>
      <c r="M127">
        <f t="shared" si="5"/>
        <v>7.9156256056715502E-2</v>
      </c>
      <c r="N127" s="26">
        <v>0.4</v>
      </c>
    </row>
    <row r="128" spans="1:14" x14ac:dyDescent="0.25">
      <c r="A128" t="s">
        <v>130</v>
      </c>
      <c r="B128">
        <v>1.0272059E-2</v>
      </c>
      <c r="C128" s="26">
        <v>0.4</v>
      </c>
      <c r="D128">
        <v>0.11338622700000001</v>
      </c>
      <c r="E128">
        <v>1.145</v>
      </c>
      <c r="F128" s="22">
        <v>0.56559199999999998</v>
      </c>
      <c r="G128">
        <v>3.8737099999999998E-3</v>
      </c>
      <c r="H128">
        <v>-6.8181700000000003</v>
      </c>
      <c r="K128">
        <f t="shared" si="3"/>
        <v>4.6658931187450392</v>
      </c>
      <c r="L128" s="22">
        <f t="shared" si="4"/>
        <v>2.6389918208172443E-2</v>
      </c>
      <c r="M128">
        <f t="shared" si="5"/>
        <v>7.9169754624517336E-2</v>
      </c>
      <c r="N128" s="26">
        <v>0.4</v>
      </c>
    </row>
    <row r="129" spans="1:14" x14ac:dyDescent="0.25">
      <c r="A129" t="s">
        <v>131</v>
      </c>
      <c r="B129">
        <v>1.0272059E-2</v>
      </c>
      <c r="C129" s="26">
        <v>0.4</v>
      </c>
      <c r="D129">
        <v>0.15118163600000001</v>
      </c>
      <c r="E129">
        <v>1.145</v>
      </c>
      <c r="F129" s="22">
        <v>0.56683499999999998</v>
      </c>
      <c r="G129">
        <v>6.8895700000000002E-3</v>
      </c>
      <c r="H129">
        <v>-9.0909300000000002</v>
      </c>
      <c r="K129">
        <f t="shared" si="3"/>
        <v>4.6576346765193533</v>
      </c>
      <c r="L129" s="22">
        <f t="shared" si="4"/>
        <v>2.6401103518648474E-2</v>
      </c>
      <c r="M129">
        <f t="shared" si="5"/>
        <v>7.9203310555945428E-2</v>
      </c>
      <c r="N129" s="26">
        <v>0.4</v>
      </c>
    </row>
    <row r="130" spans="1:14" x14ac:dyDescent="0.25">
      <c r="A130" t="s">
        <v>132</v>
      </c>
      <c r="B130">
        <v>1.0272059E-2</v>
      </c>
      <c r="C130" s="26">
        <v>0.4</v>
      </c>
      <c r="D130">
        <v>0.18897704500000001</v>
      </c>
      <c r="E130">
        <v>1.145</v>
      </c>
      <c r="F130" s="22">
        <v>0.566751</v>
      </c>
      <c r="G130">
        <v>1.07598E-2</v>
      </c>
      <c r="H130">
        <v>-11.3637</v>
      </c>
      <c r="K130">
        <f t="shared" si="3"/>
        <v>4.6560643545718561</v>
      </c>
      <c r="L130" s="22">
        <f t="shared" si="4"/>
        <v>2.6388291290179541E-2</v>
      </c>
      <c r="M130">
        <f t="shared" si="5"/>
        <v>7.9164873870538624E-2</v>
      </c>
      <c r="N130" s="26">
        <v>0.4</v>
      </c>
    </row>
    <row r="131" spans="1:14" x14ac:dyDescent="0.25">
      <c r="A131" t="s">
        <v>133</v>
      </c>
      <c r="B131">
        <v>1.0272059E-2</v>
      </c>
      <c r="C131" s="26">
        <v>0.4</v>
      </c>
      <c r="D131">
        <v>0.22677245500000001</v>
      </c>
      <c r="E131">
        <v>1.145</v>
      </c>
      <c r="F131" s="22">
        <v>0.56649899999999997</v>
      </c>
      <c r="G131">
        <v>1.54913E-2</v>
      </c>
      <c r="H131">
        <v>-13.6365</v>
      </c>
      <c r="K131">
        <f t="shared" si="3"/>
        <v>4.6572491658673796</v>
      </c>
      <c r="L131" s="22">
        <f t="shared" si="4"/>
        <v>2.6383269952147046E-2</v>
      </c>
      <c r="M131">
        <f t="shared" si="5"/>
        <v>7.9149809856441142E-2</v>
      </c>
      <c r="N131" s="26">
        <v>0.4</v>
      </c>
    </row>
    <row r="132" spans="1:14" x14ac:dyDescent="0.25">
      <c r="A132" t="s">
        <v>134</v>
      </c>
      <c r="B132">
        <v>1.0272059E-2</v>
      </c>
      <c r="C132" s="26">
        <v>0.4</v>
      </c>
      <c r="D132">
        <v>0.26456786399999999</v>
      </c>
      <c r="E132">
        <v>1.145</v>
      </c>
      <c r="F132" s="22">
        <v>0.566666</v>
      </c>
      <c r="G132">
        <v>2.1096E-2</v>
      </c>
      <c r="H132">
        <v>-15.9092</v>
      </c>
      <c r="K132">
        <f t="shared" si="3"/>
        <v>4.6582508120831605</v>
      </c>
      <c r="L132" s="22">
        <f t="shared" si="4"/>
        <v>2.6396723546799162E-2</v>
      </c>
      <c r="M132">
        <f t="shared" si="5"/>
        <v>7.9190170640397489E-2</v>
      </c>
      <c r="N132" s="26">
        <v>0.4</v>
      </c>
    </row>
    <row r="133" spans="1:14" x14ac:dyDescent="0.25">
      <c r="A133" t="s">
        <v>135</v>
      </c>
      <c r="B133">
        <v>1.0272059E-2</v>
      </c>
      <c r="C133" s="26">
        <v>0.4</v>
      </c>
      <c r="D133">
        <v>0.30236327299999999</v>
      </c>
      <c r="E133">
        <v>1.145</v>
      </c>
      <c r="F133" s="22">
        <v>0.56701900000000005</v>
      </c>
      <c r="G133">
        <v>2.7574399999999999E-2</v>
      </c>
      <c r="H133">
        <v>-18.181999999999999</v>
      </c>
      <c r="K133">
        <f t="shared" si="3"/>
        <v>4.6587750724661596</v>
      </c>
      <c r="L133" s="22">
        <f t="shared" si="4"/>
        <v>2.6416139828146893E-2</v>
      </c>
      <c r="M133">
        <f t="shared" si="5"/>
        <v>7.9248419484440683E-2</v>
      </c>
      <c r="N133" s="26">
        <v>0.4</v>
      </c>
    </row>
    <row r="134" spans="1:14" x14ac:dyDescent="0.25">
      <c r="A134" t="s">
        <v>136</v>
      </c>
      <c r="B134">
        <v>1.0272059E-2</v>
      </c>
      <c r="C134" s="26">
        <v>0.4</v>
      </c>
      <c r="D134">
        <v>0.34015868199999999</v>
      </c>
      <c r="E134">
        <v>1.145</v>
      </c>
      <c r="F134" s="22">
        <v>0.56717700000000004</v>
      </c>
      <c r="G134">
        <v>3.4917999999999998E-2</v>
      </c>
      <c r="H134">
        <v>-20.454799999999999</v>
      </c>
      <c r="K134">
        <f t="shared" ref="K134:K197" si="6">(L134/F134)*100</f>
        <v>4.6600101744417106</v>
      </c>
      <c r="L134" s="22">
        <f t="shared" ref="L134:L197" si="7">G134/($D$3*((E134*H134^2)/2))</f>
        <v>2.6430505907093265E-2</v>
      </c>
      <c r="M134">
        <f t="shared" ref="M134:M197" si="8">L134*3</f>
        <v>7.9291517721279792E-2</v>
      </c>
      <c r="N134" s="26">
        <v>0.4</v>
      </c>
    </row>
    <row r="135" spans="1:14" x14ac:dyDescent="0.25">
      <c r="A135" t="s">
        <v>137</v>
      </c>
      <c r="B135">
        <v>1.0272059E-2</v>
      </c>
      <c r="C135" s="26">
        <v>0.4</v>
      </c>
      <c r="D135">
        <v>0.37795409099999999</v>
      </c>
      <c r="E135">
        <v>1.145</v>
      </c>
      <c r="F135" s="22">
        <v>0.56728500000000004</v>
      </c>
      <c r="G135">
        <v>4.3128399999999997E-2</v>
      </c>
      <c r="H135">
        <v>-22.727499999999999</v>
      </c>
      <c r="K135">
        <f t="shared" si="6"/>
        <v>4.6612812078206387</v>
      </c>
      <c r="L135" s="22">
        <f t="shared" si="7"/>
        <v>2.6442749099785313E-2</v>
      </c>
      <c r="M135">
        <f t="shared" si="8"/>
        <v>7.9328247299355947E-2</v>
      </c>
      <c r="N135" s="26">
        <v>0.4</v>
      </c>
    </row>
    <row r="136" spans="1:14" x14ac:dyDescent="0.25">
      <c r="A136" t="s">
        <v>138</v>
      </c>
      <c r="B136">
        <v>1.0272059E-2</v>
      </c>
      <c r="C136" s="26">
        <v>0.4</v>
      </c>
      <c r="D136">
        <v>0.41574949999999999</v>
      </c>
      <c r="E136">
        <v>1.145</v>
      </c>
      <c r="F136" s="22">
        <v>0.567384</v>
      </c>
      <c r="G136">
        <v>5.2207499999999997E-2</v>
      </c>
      <c r="H136">
        <v>-25.000299999999999</v>
      </c>
      <c r="K136">
        <f t="shared" si="6"/>
        <v>4.6624261129752389</v>
      </c>
      <c r="L136" s="22">
        <f t="shared" si="7"/>
        <v>2.645385977684343E-2</v>
      </c>
      <c r="M136">
        <f t="shared" si="8"/>
        <v>7.9361579330530285E-2</v>
      </c>
      <c r="N136" s="26">
        <v>0.4</v>
      </c>
    </row>
    <row r="137" spans="1:14" x14ac:dyDescent="0.25">
      <c r="A137" t="s">
        <v>40</v>
      </c>
      <c r="B137">
        <v>1.2554232E-2</v>
      </c>
      <c r="C137" s="26">
        <v>0.5</v>
      </c>
      <c r="D137">
        <v>0.93302176000000003</v>
      </c>
      <c r="E137">
        <v>1.1679999999999999</v>
      </c>
      <c r="F137" s="18">
        <v>0.64313600000000004</v>
      </c>
      <c r="G137">
        <v>0.342223</v>
      </c>
      <c r="H137">
        <v>-55.000900000000001</v>
      </c>
      <c r="K137">
        <f t="shared" si="6"/>
        <v>5.4610482792235135</v>
      </c>
      <c r="L137" s="18">
        <f t="shared" si="7"/>
        <v>3.5121967461066939E-2</v>
      </c>
      <c r="M137">
        <f t="shared" si="8"/>
        <v>0.10536590238320082</v>
      </c>
      <c r="N137" s="26">
        <v>0.5</v>
      </c>
    </row>
    <row r="138" spans="1:14" x14ac:dyDescent="0.25">
      <c r="A138" t="s">
        <v>41</v>
      </c>
      <c r="B138">
        <v>1.2554232E-2</v>
      </c>
      <c r="C138" s="26">
        <v>0.5</v>
      </c>
      <c r="D138">
        <v>1.074388693</v>
      </c>
      <c r="E138">
        <v>1.1679999999999999</v>
      </c>
      <c r="F138" s="18">
        <v>0.64452500000000001</v>
      </c>
      <c r="G138">
        <v>0.45437499999999997</v>
      </c>
      <c r="H138">
        <v>-63.334400000000002</v>
      </c>
      <c r="K138">
        <f t="shared" si="6"/>
        <v>5.4563795644756956</v>
      </c>
      <c r="L138" s="18">
        <f t="shared" si="7"/>
        <v>3.5167730387936975E-2</v>
      </c>
      <c r="M138">
        <f t="shared" si="8"/>
        <v>0.10550319116381093</v>
      </c>
      <c r="N138" s="26">
        <v>0.5</v>
      </c>
    </row>
    <row r="139" spans="1:14" x14ac:dyDescent="0.25">
      <c r="A139" t="s">
        <v>42</v>
      </c>
      <c r="B139">
        <v>1.2554232E-2</v>
      </c>
      <c r="C139" s="26">
        <v>0.5</v>
      </c>
      <c r="D139">
        <v>1.2157556270000001</v>
      </c>
      <c r="E139">
        <v>1.1679999999999999</v>
      </c>
      <c r="F139" s="18">
        <v>0.64568199999999998</v>
      </c>
      <c r="G139">
        <v>0.58244399999999996</v>
      </c>
      <c r="H139">
        <v>-71.667900000000003</v>
      </c>
      <c r="K139">
        <f t="shared" si="6"/>
        <v>5.4524962107200921</v>
      </c>
      <c r="L139" s="18">
        <f t="shared" si="7"/>
        <v>3.5205786583301701E-2</v>
      </c>
      <c r="M139">
        <f t="shared" si="8"/>
        <v>0.1056173597499051</v>
      </c>
      <c r="N139" s="26">
        <v>0.5</v>
      </c>
    </row>
    <row r="140" spans="1:14" x14ac:dyDescent="0.25">
      <c r="A140" t="s">
        <v>43</v>
      </c>
      <c r="B140">
        <v>1.2554232E-2</v>
      </c>
      <c r="C140" s="26">
        <v>0.5</v>
      </c>
      <c r="D140">
        <v>1.3571225600000001</v>
      </c>
      <c r="E140">
        <v>1.1679999999999999</v>
      </c>
      <c r="F140" s="18">
        <v>0.64662600000000003</v>
      </c>
      <c r="G140">
        <v>0.72640400000000005</v>
      </c>
      <c r="H140">
        <v>-80.001400000000004</v>
      </c>
      <c r="K140">
        <f t="shared" si="6"/>
        <v>5.4492800031008732</v>
      </c>
      <c r="L140" s="18">
        <f t="shared" si="7"/>
        <v>3.5236461312851054E-2</v>
      </c>
      <c r="M140">
        <f t="shared" si="8"/>
        <v>0.10570938393855317</v>
      </c>
      <c r="N140" s="26">
        <v>0.5</v>
      </c>
    </row>
    <row r="141" spans="1:14" x14ac:dyDescent="0.25">
      <c r="A141" t="s">
        <v>44</v>
      </c>
      <c r="B141">
        <v>1.2554232E-2</v>
      </c>
      <c r="C141" s="26">
        <v>0.5</v>
      </c>
      <c r="D141">
        <v>0.75945996000000004</v>
      </c>
      <c r="E141">
        <v>1.1619999999999999</v>
      </c>
      <c r="F141" s="20">
        <v>0.64111799999999997</v>
      </c>
      <c r="G141">
        <v>0.227493</v>
      </c>
      <c r="H141">
        <v>-45.000700000000002</v>
      </c>
      <c r="K141">
        <f t="shared" si="6"/>
        <v>5.4681129615725741</v>
      </c>
      <c r="L141" s="20">
        <f t="shared" si="7"/>
        <v>3.5057056456974857E-2</v>
      </c>
      <c r="M141">
        <f t="shared" si="8"/>
        <v>0.10517116937092458</v>
      </c>
      <c r="N141" s="26">
        <v>0.5</v>
      </c>
    </row>
    <row r="142" spans="1:14" x14ac:dyDescent="0.25">
      <c r="A142" t="s">
        <v>45</v>
      </c>
      <c r="B142">
        <v>1.2554232E-2</v>
      </c>
      <c r="C142" s="26">
        <v>0.5</v>
      </c>
      <c r="D142">
        <v>0.87197254700000004</v>
      </c>
      <c r="E142">
        <v>1.1619999999999999</v>
      </c>
      <c r="F142" s="20">
        <v>0.64246300000000001</v>
      </c>
      <c r="G142">
        <v>0.30026000000000003</v>
      </c>
      <c r="H142">
        <v>-51.667499999999997</v>
      </c>
      <c r="K142">
        <f t="shared" si="6"/>
        <v>5.4633674596291817</v>
      </c>
      <c r="L142" s="20">
        <f t="shared" si="7"/>
        <v>3.5100114482157427E-2</v>
      </c>
      <c r="M142">
        <f t="shared" si="8"/>
        <v>0.10530034344647228</v>
      </c>
      <c r="N142" s="26">
        <v>0.5</v>
      </c>
    </row>
    <row r="143" spans="1:14" x14ac:dyDescent="0.25">
      <c r="A143" t="s">
        <v>46</v>
      </c>
      <c r="B143">
        <v>1.2554232E-2</v>
      </c>
      <c r="C143" s="26">
        <v>0.5</v>
      </c>
      <c r="D143">
        <v>0.98448513299999996</v>
      </c>
      <c r="E143">
        <v>1.1619999999999999</v>
      </c>
      <c r="F143" s="20">
        <v>0.64367099999999999</v>
      </c>
      <c r="G143">
        <v>0.38317600000000002</v>
      </c>
      <c r="H143">
        <v>-58.334299999999999</v>
      </c>
      <c r="K143">
        <f t="shared" si="6"/>
        <v>5.4592417197088992</v>
      </c>
      <c r="L143" s="20">
        <f t="shared" si="7"/>
        <v>3.5139555769667465E-2</v>
      </c>
      <c r="M143">
        <f t="shared" si="8"/>
        <v>0.1054186673090024</v>
      </c>
      <c r="N143" s="26">
        <v>0.5</v>
      </c>
    </row>
    <row r="144" spans="1:14" x14ac:dyDescent="0.25">
      <c r="A144" t="s">
        <v>47</v>
      </c>
      <c r="B144">
        <v>1.2554232E-2</v>
      </c>
      <c r="C144" s="26">
        <v>0.5</v>
      </c>
      <c r="D144">
        <v>1.0969977200000001</v>
      </c>
      <c r="E144">
        <v>1.1619999999999999</v>
      </c>
      <c r="F144" s="20">
        <v>0.64472600000000002</v>
      </c>
      <c r="G144">
        <v>0.47623599999999999</v>
      </c>
      <c r="H144">
        <v>-65.001099999999994</v>
      </c>
      <c r="K144">
        <f t="shared" si="6"/>
        <v>5.4557137285823787</v>
      </c>
      <c r="L144" s="20">
        <f t="shared" si="7"/>
        <v>3.5174404893740026E-2</v>
      </c>
      <c r="M144">
        <f t="shared" si="8"/>
        <v>0.10552321468122008</v>
      </c>
      <c r="N144" s="26">
        <v>0.5</v>
      </c>
    </row>
    <row r="145" spans="1:14" x14ac:dyDescent="0.25">
      <c r="A145" t="s">
        <v>48</v>
      </c>
      <c r="B145">
        <v>1.2554232E-2</v>
      </c>
      <c r="C145" s="26">
        <v>0.5</v>
      </c>
      <c r="D145">
        <v>0.58764103999999995</v>
      </c>
      <c r="E145">
        <v>1.1559999999999999</v>
      </c>
      <c r="F145" s="21">
        <v>0.63902599999999998</v>
      </c>
      <c r="G145">
        <v>0.13664699999999999</v>
      </c>
      <c r="H145">
        <v>-35.000500000000002</v>
      </c>
      <c r="K145">
        <f t="shared" si="6"/>
        <v>5.4755445747493043</v>
      </c>
      <c r="L145" s="21">
        <f t="shared" si="7"/>
        <v>3.4990153474237493E-2</v>
      </c>
      <c r="M145">
        <f t="shared" si="8"/>
        <v>0.10497046042271248</v>
      </c>
      <c r="N145" s="26">
        <v>0.5</v>
      </c>
    </row>
    <row r="146" spans="1:14" x14ac:dyDescent="0.25">
      <c r="A146" t="s">
        <v>49</v>
      </c>
      <c r="B146">
        <v>1.2554232E-2</v>
      </c>
      <c r="C146" s="26">
        <v>0.5</v>
      </c>
      <c r="D146">
        <v>0.65480001600000004</v>
      </c>
      <c r="E146">
        <v>1.1559999999999999</v>
      </c>
      <c r="F146" s="21">
        <v>0.63985800000000004</v>
      </c>
      <c r="G146">
        <v>0.169796</v>
      </c>
      <c r="H146">
        <v>-39.000599999999999</v>
      </c>
      <c r="K146">
        <f t="shared" si="6"/>
        <v>5.4726228186500965</v>
      </c>
      <c r="L146" s="21">
        <f t="shared" si="7"/>
        <v>3.5017014914958136E-2</v>
      </c>
      <c r="M146">
        <f t="shared" si="8"/>
        <v>0.10505104474487441</v>
      </c>
      <c r="N146" s="26">
        <v>0.5</v>
      </c>
    </row>
    <row r="147" spans="1:14" x14ac:dyDescent="0.25">
      <c r="A147" t="s">
        <v>50</v>
      </c>
      <c r="B147">
        <v>1.2554232E-2</v>
      </c>
      <c r="C147" s="26">
        <v>0.5</v>
      </c>
      <c r="D147">
        <v>0.72195899200000002</v>
      </c>
      <c r="E147">
        <v>1.1559999999999999</v>
      </c>
      <c r="F147" s="21">
        <v>0.64067399999999997</v>
      </c>
      <c r="G147">
        <v>0.206565</v>
      </c>
      <c r="H147">
        <v>-43.000700000000002</v>
      </c>
      <c r="K147">
        <f t="shared" si="6"/>
        <v>5.4696914706251416</v>
      </c>
      <c r="L147" s="21">
        <f t="shared" si="7"/>
        <v>3.5042891132512917E-2</v>
      </c>
      <c r="M147">
        <f t="shared" si="8"/>
        <v>0.10512867339753876</v>
      </c>
      <c r="N147" s="26">
        <v>0.5</v>
      </c>
    </row>
    <row r="148" spans="1:14" x14ac:dyDescent="0.25">
      <c r="A148" t="s">
        <v>51</v>
      </c>
      <c r="B148">
        <v>1.2554232E-2</v>
      </c>
      <c r="C148" s="26">
        <v>0.5</v>
      </c>
      <c r="D148">
        <v>0.789117968</v>
      </c>
      <c r="E148">
        <v>1.1559999999999999</v>
      </c>
      <c r="F148" s="21">
        <v>0.64147200000000004</v>
      </c>
      <c r="G148">
        <v>0.24696299999999999</v>
      </c>
      <c r="H148">
        <v>-47.000799999999998</v>
      </c>
      <c r="K148">
        <f t="shared" si="6"/>
        <v>5.4668597262008394</v>
      </c>
      <c r="L148" s="21">
        <f t="shared" si="7"/>
        <v>3.5068374422855049E-2</v>
      </c>
      <c r="M148">
        <f t="shared" si="8"/>
        <v>0.10520512326856515</v>
      </c>
      <c r="N148" s="26">
        <v>0.5</v>
      </c>
    </row>
    <row r="149" spans="1:14" x14ac:dyDescent="0.25">
      <c r="A149" t="s">
        <v>52</v>
      </c>
      <c r="B149">
        <v>1.2554232E-2</v>
      </c>
      <c r="C149" s="26">
        <v>0.5</v>
      </c>
      <c r="D149">
        <v>0.85627694399999998</v>
      </c>
      <c r="E149">
        <v>1.1559999999999999</v>
      </c>
      <c r="F149" s="21">
        <v>0.64228200000000002</v>
      </c>
      <c r="G149">
        <v>0.29100199999999998</v>
      </c>
      <c r="H149">
        <v>-51.000799999999998</v>
      </c>
      <c r="K149">
        <f t="shared" si="6"/>
        <v>5.4639974589848901</v>
      </c>
      <c r="L149" s="21">
        <f t="shared" si="7"/>
        <v>3.5094272159517333E-2</v>
      </c>
      <c r="M149">
        <f t="shared" si="8"/>
        <v>0.105282816478552</v>
      </c>
      <c r="N149" s="26">
        <v>0.5</v>
      </c>
    </row>
    <row r="150" spans="1:14" x14ac:dyDescent="0.25">
      <c r="A150" t="s">
        <v>53</v>
      </c>
      <c r="B150">
        <v>1.2554232E-2</v>
      </c>
      <c r="C150" s="26">
        <v>0.5</v>
      </c>
      <c r="D150">
        <v>0.92343591999999997</v>
      </c>
      <c r="E150">
        <v>1.1559999999999999</v>
      </c>
      <c r="F150" s="21">
        <v>0.64303299999999997</v>
      </c>
      <c r="G150">
        <v>0.33867399999999998</v>
      </c>
      <c r="H150">
        <v>-55.000900000000001</v>
      </c>
      <c r="K150">
        <f t="shared" si="6"/>
        <v>5.4613907040002658</v>
      </c>
      <c r="L150" s="21">
        <f t="shared" si="7"/>
        <v>3.5118544485654025E-2</v>
      </c>
      <c r="M150">
        <f t="shared" si="8"/>
        <v>0.10535563345696208</v>
      </c>
      <c r="N150" s="26">
        <v>0.5</v>
      </c>
    </row>
    <row r="151" spans="1:14" x14ac:dyDescent="0.25">
      <c r="A151" t="s">
        <v>54</v>
      </c>
      <c r="B151">
        <v>1.2554232E-2</v>
      </c>
      <c r="C151" s="26">
        <v>0.5</v>
      </c>
      <c r="D151">
        <v>0.25053900000000001</v>
      </c>
      <c r="E151">
        <v>1.1499999999999999</v>
      </c>
      <c r="F151" s="25">
        <v>0.63537500000000002</v>
      </c>
      <c r="G151">
        <v>2.48712E-2</v>
      </c>
      <c r="H151">
        <v>-15.0001</v>
      </c>
      <c r="K151">
        <f t="shared" si="6"/>
        <v>5.4857062117845272</v>
      </c>
      <c r="L151" s="25">
        <f t="shared" si="7"/>
        <v>3.485480584312594E-2</v>
      </c>
      <c r="M151">
        <f t="shared" si="8"/>
        <v>0.10456441752937781</v>
      </c>
      <c r="N151" s="26">
        <v>0.5</v>
      </c>
    </row>
    <row r="152" spans="1:14" x14ac:dyDescent="0.25">
      <c r="A152" t="s">
        <v>55</v>
      </c>
      <c r="B152">
        <v>1.2554232E-2</v>
      </c>
      <c r="C152" s="26">
        <v>0.5</v>
      </c>
      <c r="D152">
        <v>0.322121571</v>
      </c>
      <c r="E152">
        <v>1.1499999999999999</v>
      </c>
      <c r="F152" s="25">
        <v>0.63601200000000002</v>
      </c>
      <c r="G152">
        <v>4.1147700000000002E-2</v>
      </c>
      <c r="H152">
        <v>-19.285900000000002</v>
      </c>
      <c r="K152">
        <f t="shared" si="6"/>
        <v>5.4847226424752975</v>
      </c>
      <c r="L152" s="25">
        <f t="shared" si="7"/>
        <v>3.4883494172859991E-2</v>
      </c>
      <c r="M152">
        <f t="shared" si="8"/>
        <v>0.10465048251857997</v>
      </c>
      <c r="N152" s="26">
        <v>0.5</v>
      </c>
    </row>
    <row r="153" spans="1:14" x14ac:dyDescent="0.25">
      <c r="A153" t="s">
        <v>56</v>
      </c>
      <c r="B153">
        <v>1.2554232E-2</v>
      </c>
      <c r="C153" s="26">
        <v>0.5</v>
      </c>
      <c r="D153">
        <v>0.39370414300000001</v>
      </c>
      <c r="E153">
        <v>1.1499999999999999</v>
      </c>
      <c r="F153" s="25">
        <v>0.63669900000000001</v>
      </c>
      <c r="G153">
        <v>6.1519999999999998E-2</v>
      </c>
      <c r="H153">
        <v>-23.5717</v>
      </c>
      <c r="K153">
        <f t="shared" si="6"/>
        <v>5.4834588087964544</v>
      </c>
      <c r="L153" s="25">
        <f t="shared" si="7"/>
        <v>3.4913127401018935E-2</v>
      </c>
      <c r="M153">
        <f t="shared" si="8"/>
        <v>0.10473938220305681</v>
      </c>
      <c r="N153" s="26">
        <v>0.5</v>
      </c>
    </row>
    <row r="154" spans="1:14" x14ac:dyDescent="0.25">
      <c r="A154" t="s">
        <v>57</v>
      </c>
      <c r="B154">
        <v>1.2554232E-2</v>
      </c>
      <c r="C154" s="26">
        <v>0.5</v>
      </c>
      <c r="D154">
        <v>0.46528671399999999</v>
      </c>
      <c r="E154">
        <v>1.1499999999999999</v>
      </c>
      <c r="F154" s="25">
        <v>0.63753400000000005</v>
      </c>
      <c r="G154">
        <v>8.5997000000000004E-2</v>
      </c>
      <c r="H154">
        <v>-27.857500000000002</v>
      </c>
      <c r="K154">
        <f t="shared" si="6"/>
        <v>5.4808751413363073</v>
      </c>
      <c r="L154" s="25">
        <f t="shared" si="7"/>
        <v>3.4942442523567013E-2</v>
      </c>
      <c r="M154">
        <f t="shared" si="8"/>
        <v>0.10482732757070104</v>
      </c>
      <c r="N154" s="26">
        <v>0.5</v>
      </c>
    </row>
    <row r="155" spans="1:14" x14ac:dyDescent="0.25">
      <c r="A155" t="s">
        <v>58</v>
      </c>
      <c r="B155">
        <v>1.2554232E-2</v>
      </c>
      <c r="C155" s="26">
        <v>0.5</v>
      </c>
      <c r="D155">
        <v>0.53686928599999995</v>
      </c>
      <c r="E155">
        <v>1.1499999999999999</v>
      </c>
      <c r="F155" s="25">
        <v>0.63839299999999999</v>
      </c>
      <c r="G155">
        <v>0.114583</v>
      </c>
      <c r="H155">
        <v>-32.143300000000004</v>
      </c>
      <c r="K155">
        <f t="shared" si="6"/>
        <v>5.4777900869582385</v>
      </c>
      <c r="L155" s="25">
        <f t="shared" si="7"/>
        <v>3.4969828469835304E-2</v>
      </c>
      <c r="M155">
        <f t="shared" si="8"/>
        <v>0.10490948540950591</v>
      </c>
      <c r="N155" s="26">
        <v>0.5</v>
      </c>
    </row>
    <row r="156" spans="1:14" x14ac:dyDescent="0.25">
      <c r="A156" t="s">
        <v>59</v>
      </c>
      <c r="B156">
        <v>1.2554232E-2</v>
      </c>
      <c r="C156" s="26">
        <v>0.5</v>
      </c>
      <c r="D156">
        <v>0.60845185700000004</v>
      </c>
      <c r="E156">
        <v>1.1499999999999999</v>
      </c>
      <c r="F156" s="25">
        <v>0.63928499999999999</v>
      </c>
      <c r="G156">
        <v>0.14729600000000001</v>
      </c>
      <c r="H156">
        <v>-36.429099999999998</v>
      </c>
      <c r="K156">
        <f t="shared" si="6"/>
        <v>5.4746176307335848</v>
      </c>
      <c r="L156" s="25">
        <f t="shared" si="7"/>
        <v>3.49984093206352E-2</v>
      </c>
      <c r="M156">
        <f t="shared" si="8"/>
        <v>0.10499522796190561</v>
      </c>
      <c r="N156" s="26">
        <v>0.5</v>
      </c>
    </row>
    <row r="157" spans="1:14" x14ac:dyDescent="0.25">
      <c r="A157" t="s">
        <v>60</v>
      </c>
      <c r="B157">
        <v>1.2554232E-2</v>
      </c>
      <c r="C157" s="26">
        <v>0.5</v>
      </c>
      <c r="D157">
        <v>0.680034429</v>
      </c>
      <c r="E157">
        <v>1.1499999999999999</v>
      </c>
      <c r="F157" s="25">
        <v>0.64016600000000001</v>
      </c>
      <c r="G157">
        <v>0.184142</v>
      </c>
      <c r="H157">
        <v>-40.7149</v>
      </c>
      <c r="K157">
        <f t="shared" si="6"/>
        <v>5.4715168757605399</v>
      </c>
      <c r="L157" s="25">
        <f t="shared" si="7"/>
        <v>3.5026790722881215E-2</v>
      </c>
      <c r="M157">
        <f t="shared" si="8"/>
        <v>0.10508037216864365</v>
      </c>
      <c r="N157" s="26">
        <v>0.5</v>
      </c>
    </row>
    <row r="158" spans="1:14" x14ac:dyDescent="0.25">
      <c r="A158" t="s">
        <v>61</v>
      </c>
      <c r="B158">
        <v>1.2554232E-2</v>
      </c>
      <c r="C158" s="26">
        <v>0.5</v>
      </c>
      <c r="D158">
        <v>0.75161699999999998</v>
      </c>
      <c r="E158">
        <v>1.1499999999999999</v>
      </c>
      <c r="F158" s="25">
        <v>0.64102599999999998</v>
      </c>
      <c r="G158">
        <v>0.22512499999999999</v>
      </c>
      <c r="H158">
        <v>-45.000700000000002</v>
      </c>
      <c r="K158">
        <f t="shared" si="6"/>
        <v>5.4684441231756189</v>
      </c>
      <c r="L158" s="25">
        <f t="shared" si="7"/>
        <v>3.5054148625027745E-2</v>
      </c>
      <c r="M158">
        <f t="shared" si="8"/>
        <v>0.10516244587508324</v>
      </c>
      <c r="N158" s="26">
        <v>0.5</v>
      </c>
    </row>
    <row r="159" spans="1:14" x14ac:dyDescent="0.25">
      <c r="A159" t="s">
        <v>62</v>
      </c>
      <c r="B159">
        <v>1.2554232E-2</v>
      </c>
      <c r="C159" s="26">
        <v>0.5</v>
      </c>
      <c r="D159">
        <v>3.7795409000000002E-2</v>
      </c>
      <c r="E159">
        <v>1.145</v>
      </c>
      <c r="F159" s="22">
        <v>0.61764300000000005</v>
      </c>
      <c r="G159">
        <v>5.6501100000000003E-4</v>
      </c>
      <c r="H159">
        <v>-2.2726500000000001</v>
      </c>
      <c r="K159">
        <f t="shared" si="6"/>
        <v>5.6091990930408349</v>
      </c>
      <c r="L159" s="22">
        <f t="shared" si="7"/>
        <v>3.4644825554230207E-2</v>
      </c>
      <c r="M159">
        <f t="shared" si="8"/>
        <v>0.10393447666269062</v>
      </c>
      <c r="N159" s="26">
        <v>0.5</v>
      </c>
    </row>
    <row r="160" spans="1:14" x14ac:dyDescent="0.25">
      <c r="A160" t="s">
        <v>63</v>
      </c>
      <c r="B160">
        <v>1.2554232E-2</v>
      </c>
      <c r="C160" s="26">
        <v>0.5</v>
      </c>
      <c r="D160">
        <v>7.5590818000000004E-2</v>
      </c>
      <c r="E160">
        <v>1.145</v>
      </c>
      <c r="F160" s="22">
        <v>0.63524899999999995</v>
      </c>
      <c r="G160">
        <v>2.2797099999999999E-3</v>
      </c>
      <c r="H160">
        <v>-4.5453999999999999</v>
      </c>
      <c r="K160">
        <f t="shared" si="6"/>
        <v>5.5009536964635943</v>
      </c>
      <c r="L160" s="22">
        <f t="shared" si="7"/>
        <v>3.4944753347248017E-2</v>
      </c>
      <c r="M160">
        <f t="shared" si="8"/>
        <v>0.10483426004174405</v>
      </c>
      <c r="N160" s="26">
        <v>0.5</v>
      </c>
    </row>
    <row r="161" spans="1:14" x14ac:dyDescent="0.25">
      <c r="A161" t="s">
        <v>64</v>
      </c>
      <c r="B161">
        <v>1.2554232E-2</v>
      </c>
      <c r="C161" s="26">
        <v>0.5</v>
      </c>
      <c r="D161">
        <v>0.11338622700000001</v>
      </c>
      <c r="E161">
        <v>1.145</v>
      </c>
      <c r="F161" s="22">
        <v>0.63420100000000001</v>
      </c>
      <c r="G161">
        <v>5.1190599999999999E-3</v>
      </c>
      <c r="H161">
        <v>-6.8181700000000003</v>
      </c>
      <c r="K161">
        <f t="shared" si="6"/>
        <v>5.4988799307668268</v>
      </c>
      <c r="L161" s="22">
        <f t="shared" si="7"/>
        <v>3.4873951509722521E-2</v>
      </c>
      <c r="M161">
        <f t="shared" si="8"/>
        <v>0.10462185452916756</v>
      </c>
      <c r="N161" s="26">
        <v>0.5</v>
      </c>
    </row>
    <row r="162" spans="1:14" x14ac:dyDescent="0.25">
      <c r="A162" t="s">
        <v>65</v>
      </c>
      <c r="B162">
        <v>1.2554232E-2</v>
      </c>
      <c r="C162" s="26">
        <v>0.5</v>
      </c>
      <c r="D162">
        <v>0.15118163600000001</v>
      </c>
      <c r="E162">
        <v>1.145</v>
      </c>
      <c r="F162" s="22">
        <v>0.63500100000000004</v>
      </c>
      <c r="G162">
        <v>9.1018399999999999E-3</v>
      </c>
      <c r="H162">
        <v>-9.0909300000000002</v>
      </c>
      <c r="K162">
        <f t="shared" si="6"/>
        <v>5.4926857229149642</v>
      </c>
      <c r="L162" s="22">
        <f t="shared" si="7"/>
        <v>3.4878609267367251E-2</v>
      </c>
      <c r="M162">
        <f t="shared" si="8"/>
        <v>0.10463582780210176</v>
      </c>
      <c r="N162" s="26">
        <v>0.5</v>
      </c>
    </row>
    <row r="163" spans="1:14" x14ac:dyDescent="0.25">
      <c r="A163" t="s">
        <v>66</v>
      </c>
      <c r="B163">
        <v>1.2554232E-2</v>
      </c>
      <c r="C163" s="26">
        <v>0.5</v>
      </c>
      <c r="D163">
        <v>0.18897704500000001</v>
      </c>
      <c r="E163">
        <v>1.145</v>
      </c>
      <c r="F163" s="22">
        <v>0.63520100000000002</v>
      </c>
      <c r="G163">
        <v>1.4214900000000001E-2</v>
      </c>
      <c r="H163">
        <v>-11.3637</v>
      </c>
      <c r="K163">
        <f t="shared" si="6"/>
        <v>5.4883235513794117</v>
      </c>
      <c r="L163" s="22">
        <f t="shared" si="7"/>
        <v>3.4861886081597536E-2</v>
      </c>
      <c r="M163">
        <f t="shared" si="8"/>
        <v>0.1045856582447926</v>
      </c>
      <c r="N163" s="26">
        <v>0.5</v>
      </c>
    </row>
    <row r="164" spans="1:14" x14ac:dyDescent="0.25">
      <c r="A164" t="s">
        <v>67</v>
      </c>
      <c r="B164">
        <v>1.2554232E-2</v>
      </c>
      <c r="C164" s="26">
        <v>0.5</v>
      </c>
      <c r="D164">
        <v>0.22677245500000001</v>
      </c>
      <c r="E164">
        <v>1.145</v>
      </c>
      <c r="F164" s="22">
        <v>0.63526499999999997</v>
      </c>
      <c r="G164">
        <v>2.0464599999999999E-2</v>
      </c>
      <c r="H164">
        <v>-13.6365</v>
      </c>
      <c r="K164">
        <f t="shared" si="6"/>
        <v>5.4864204757965416</v>
      </c>
      <c r="L164" s="22">
        <f t="shared" si="7"/>
        <v>3.4853309035568894E-2</v>
      </c>
      <c r="M164">
        <f t="shared" si="8"/>
        <v>0.10455992710670668</v>
      </c>
      <c r="N164" s="26">
        <v>0.5</v>
      </c>
    </row>
    <row r="165" spans="1:14" x14ac:dyDescent="0.25">
      <c r="A165" t="s">
        <v>68</v>
      </c>
      <c r="B165">
        <v>1.2554232E-2</v>
      </c>
      <c r="C165" s="26">
        <v>0.5</v>
      </c>
      <c r="D165">
        <v>0.26456786399999999</v>
      </c>
      <c r="E165">
        <v>1.145</v>
      </c>
      <c r="F165" s="22">
        <v>0.63545399999999996</v>
      </c>
      <c r="G165">
        <v>2.7857699999999999E-2</v>
      </c>
      <c r="H165">
        <v>-15.9092</v>
      </c>
      <c r="K165">
        <f t="shared" si="6"/>
        <v>5.4854346641595084</v>
      </c>
      <c r="L165" s="22">
        <f t="shared" si="7"/>
        <v>3.4857413990788157E-2</v>
      </c>
      <c r="M165">
        <f t="shared" si="8"/>
        <v>0.10457224197236448</v>
      </c>
      <c r="N165" s="26">
        <v>0.5</v>
      </c>
    </row>
    <row r="166" spans="1:14" x14ac:dyDescent="0.25">
      <c r="A166" t="s">
        <v>69</v>
      </c>
      <c r="B166">
        <v>1.2554232E-2</v>
      </c>
      <c r="C166" s="26">
        <v>0.5</v>
      </c>
      <c r="D166">
        <v>0.30236327299999999</v>
      </c>
      <c r="E166">
        <v>1.145</v>
      </c>
      <c r="F166" s="22">
        <v>0.63584099999999999</v>
      </c>
      <c r="G166">
        <v>3.6402999999999998E-2</v>
      </c>
      <c r="H166">
        <v>-18.181999999999999</v>
      </c>
      <c r="K166">
        <f t="shared" si="6"/>
        <v>5.484688040819699</v>
      </c>
      <c r="L166" s="22">
        <f t="shared" si="7"/>
        <v>3.4873895285628384E-2</v>
      </c>
      <c r="M166">
        <f t="shared" si="8"/>
        <v>0.10462168585688515</v>
      </c>
      <c r="N166" s="26">
        <v>0.5</v>
      </c>
    </row>
    <row r="167" spans="1:14" x14ac:dyDescent="0.25">
      <c r="A167" t="s">
        <v>70</v>
      </c>
      <c r="B167">
        <v>1.2554232E-2</v>
      </c>
      <c r="C167" s="26">
        <v>0.5</v>
      </c>
      <c r="D167">
        <v>0.34015868199999999</v>
      </c>
      <c r="E167">
        <v>1.145</v>
      </c>
      <c r="F167" s="22">
        <v>0.636181</v>
      </c>
      <c r="G167">
        <v>4.6095999999999998E-2</v>
      </c>
      <c r="H167">
        <v>-20.454799999999999</v>
      </c>
      <c r="K167">
        <f t="shared" si="6"/>
        <v>5.484520471925074</v>
      </c>
      <c r="L167" s="22">
        <f t="shared" si="7"/>
        <v>3.4891477183497659E-2</v>
      </c>
      <c r="M167">
        <f t="shared" si="8"/>
        <v>0.10467443155049297</v>
      </c>
      <c r="N167" s="26">
        <v>0.5</v>
      </c>
    </row>
    <row r="168" spans="1:14" x14ac:dyDescent="0.25">
      <c r="A168" t="s">
        <v>71</v>
      </c>
      <c r="B168">
        <v>1.2554232E-2</v>
      </c>
      <c r="C168" s="26">
        <v>0.5</v>
      </c>
      <c r="D168">
        <v>0.37795409099999999</v>
      </c>
      <c r="E168">
        <v>1.145</v>
      </c>
      <c r="F168" s="22">
        <v>0.63653400000000004</v>
      </c>
      <c r="G168">
        <v>5.6933499999999998E-2</v>
      </c>
      <c r="H168">
        <v>-22.727599999999999</v>
      </c>
      <c r="K168">
        <f t="shared" si="6"/>
        <v>5.4838518383982855</v>
      </c>
      <c r="L168" s="22">
        <f t="shared" si="7"/>
        <v>3.4906581461030144E-2</v>
      </c>
      <c r="M168">
        <f t="shared" si="8"/>
        <v>0.10471974438309042</v>
      </c>
      <c r="N168" s="26">
        <v>0.5</v>
      </c>
    </row>
    <row r="169" spans="1:14" x14ac:dyDescent="0.25">
      <c r="A169" t="s">
        <v>72</v>
      </c>
      <c r="B169">
        <v>1.2554232E-2</v>
      </c>
      <c r="C169" s="26">
        <v>0.5</v>
      </c>
      <c r="D169">
        <v>0.41574949999999999</v>
      </c>
      <c r="E169">
        <v>1.145</v>
      </c>
      <c r="F169" s="22">
        <v>0.63694600000000001</v>
      </c>
      <c r="G169">
        <v>6.8919900000000006E-2</v>
      </c>
      <c r="H169">
        <v>-25.000299999999999</v>
      </c>
      <c r="K169">
        <f t="shared" si="6"/>
        <v>5.4827465973811407</v>
      </c>
      <c r="L169" s="22">
        <f t="shared" si="7"/>
        <v>3.4922135142155281E-2</v>
      </c>
      <c r="M169">
        <f t="shared" si="8"/>
        <v>0.10476640542646584</v>
      </c>
      <c r="N169" s="26">
        <v>0.5</v>
      </c>
    </row>
    <row r="170" spans="1:14" x14ac:dyDescent="0.25">
      <c r="A170" t="s">
        <v>73</v>
      </c>
      <c r="B170">
        <v>1.4836406E-2</v>
      </c>
      <c r="C170" s="26">
        <v>0.6</v>
      </c>
      <c r="D170">
        <v>0.93302176000000003</v>
      </c>
      <c r="E170">
        <v>1.1679999999999999</v>
      </c>
      <c r="F170" s="18">
        <v>0.686087</v>
      </c>
      <c r="G170">
        <v>0.422261</v>
      </c>
      <c r="H170">
        <v>-55.000900000000001</v>
      </c>
      <c r="K170">
        <f t="shared" si="6"/>
        <v>6.3164261609701473</v>
      </c>
      <c r="L170" s="18">
        <f t="shared" si="7"/>
        <v>4.3336178755015255E-2</v>
      </c>
      <c r="M170">
        <f t="shared" si="8"/>
        <v>0.13000853626504577</v>
      </c>
      <c r="N170" s="26">
        <v>0.6</v>
      </c>
    </row>
    <row r="171" spans="1:14" x14ac:dyDescent="0.25">
      <c r="A171" t="s">
        <v>74</v>
      </c>
      <c r="B171">
        <v>1.4836406E-2</v>
      </c>
      <c r="C171" s="26">
        <v>0.6</v>
      </c>
      <c r="D171">
        <v>1.074388693</v>
      </c>
      <c r="E171">
        <v>1.1679999999999999</v>
      </c>
      <c r="F171" s="18">
        <v>0.68715499999999996</v>
      </c>
      <c r="G171">
        <v>0.56050699999999998</v>
      </c>
      <c r="H171">
        <v>-63.334400000000002</v>
      </c>
      <c r="K171">
        <f t="shared" si="6"/>
        <v>6.3132973239295218</v>
      </c>
      <c r="L171" s="18">
        <f t="shared" si="7"/>
        <v>4.3382138226247903E-2</v>
      </c>
      <c r="M171">
        <f t="shared" si="8"/>
        <v>0.13014641467874372</v>
      </c>
      <c r="N171" s="26">
        <v>0.6</v>
      </c>
    </row>
    <row r="172" spans="1:14" x14ac:dyDescent="0.25">
      <c r="A172" t="s">
        <v>75</v>
      </c>
      <c r="B172">
        <v>1.4836406E-2</v>
      </c>
      <c r="C172" s="26">
        <v>0.6</v>
      </c>
      <c r="D172">
        <v>1.2157556270000001</v>
      </c>
      <c r="E172">
        <v>1.1679999999999999</v>
      </c>
      <c r="F172" s="18">
        <v>0.68807300000000005</v>
      </c>
      <c r="G172">
        <v>0.71837899999999999</v>
      </c>
      <c r="H172">
        <v>-71.667900000000003</v>
      </c>
      <c r="K172">
        <f t="shared" si="6"/>
        <v>6.3107211139218178</v>
      </c>
      <c r="L172" s="18">
        <f t="shared" si="7"/>
        <v>4.3422368090195271E-2</v>
      </c>
      <c r="M172">
        <f t="shared" si="8"/>
        <v>0.1302671042705858</v>
      </c>
      <c r="N172" s="26">
        <v>0.6</v>
      </c>
    </row>
    <row r="173" spans="1:14" x14ac:dyDescent="0.25">
      <c r="A173" t="s">
        <v>76</v>
      </c>
      <c r="B173">
        <v>1.4836406E-2</v>
      </c>
      <c r="C173" s="26">
        <v>0.6</v>
      </c>
      <c r="D173">
        <v>1.3571225600000001</v>
      </c>
      <c r="E173">
        <v>1.1679999999999999</v>
      </c>
      <c r="F173" s="18">
        <v>0.68884299999999998</v>
      </c>
      <c r="G173">
        <v>0.89583999999999997</v>
      </c>
      <c r="H173">
        <v>-80.001400000000004</v>
      </c>
      <c r="K173">
        <f t="shared" si="6"/>
        <v>6.3084731763093442</v>
      </c>
      <c r="L173" s="18">
        <f t="shared" si="7"/>
        <v>4.3455475881884573E-2</v>
      </c>
      <c r="M173">
        <f t="shared" si="8"/>
        <v>0.1303664276456537</v>
      </c>
      <c r="N173" s="26">
        <v>0.6</v>
      </c>
    </row>
    <row r="174" spans="1:14" x14ac:dyDescent="0.25">
      <c r="A174" t="s">
        <v>77</v>
      </c>
      <c r="B174">
        <v>1.4836406E-2</v>
      </c>
      <c r="C174" s="26">
        <v>0.6</v>
      </c>
      <c r="D174">
        <v>0.75945996000000004</v>
      </c>
      <c r="E174">
        <v>1.1619999999999999</v>
      </c>
      <c r="F174" s="20">
        <v>0.68452500000000005</v>
      </c>
      <c r="G174">
        <v>0.28078199999999998</v>
      </c>
      <c r="H174">
        <v>-45.000700000000002</v>
      </c>
      <c r="K174">
        <f t="shared" si="6"/>
        <v>6.3210228374281252</v>
      </c>
      <c r="L174" s="20">
        <f t="shared" si="7"/>
        <v>4.3268981577904875E-2</v>
      </c>
      <c r="M174">
        <f t="shared" si="8"/>
        <v>0.12980694473371462</v>
      </c>
      <c r="N174" s="26">
        <v>0.6</v>
      </c>
    </row>
    <row r="175" spans="1:14" x14ac:dyDescent="0.25">
      <c r="A175" t="s">
        <v>78</v>
      </c>
      <c r="B175">
        <v>1.4836406E-2</v>
      </c>
      <c r="C175" s="26">
        <v>0.6</v>
      </c>
      <c r="D175">
        <v>0.87197254700000004</v>
      </c>
      <c r="E175">
        <v>1.1619999999999999</v>
      </c>
      <c r="F175" s="20">
        <v>0.68556499999999998</v>
      </c>
      <c r="G175">
        <v>0.37052800000000002</v>
      </c>
      <c r="H175">
        <v>-51.667499999999997</v>
      </c>
      <c r="K175">
        <f t="shared" si="6"/>
        <v>6.3180556574966467</v>
      </c>
      <c r="L175" s="20">
        <f t="shared" si="7"/>
        <v>4.3314378268316883E-2</v>
      </c>
      <c r="M175">
        <f t="shared" si="8"/>
        <v>0.12994313480495065</v>
      </c>
      <c r="N175" s="26">
        <v>0.6</v>
      </c>
    </row>
    <row r="176" spans="1:14" x14ac:dyDescent="0.25">
      <c r="A176" t="s">
        <v>79</v>
      </c>
      <c r="B176">
        <v>1.4836406E-2</v>
      </c>
      <c r="C176" s="26">
        <v>0.6</v>
      </c>
      <c r="D176">
        <v>0.98448513299999996</v>
      </c>
      <c r="E176">
        <v>1.1619999999999999</v>
      </c>
      <c r="F176" s="20">
        <v>0.686496</v>
      </c>
      <c r="G176">
        <v>0.47274300000000002</v>
      </c>
      <c r="H176">
        <v>-58.334299999999999</v>
      </c>
      <c r="K176">
        <f t="shared" si="6"/>
        <v>6.3151702508782881</v>
      </c>
      <c r="L176" s="20">
        <f t="shared" si="7"/>
        <v>4.3353391165469414E-2</v>
      </c>
      <c r="M176">
        <f t="shared" si="8"/>
        <v>0.13006017349640825</v>
      </c>
      <c r="N176" s="26">
        <v>0.6</v>
      </c>
    </row>
    <row r="177" spans="1:14" x14ac:dyDescent="0.25">
      <c r="A177" t="s">
        <v>80</v>
      </c>
      <c r="B177">
        <v>1.4836406E-2</v>
      </c>
      <c r="C177" s="26">
        <v>0.6</v>
      </c>
      <c r="D177">
        <v>1.0969977200000001</v>
      </c>
      <c r="E177">
        <v>1.1619999999999999</v>
      </c>
      <c r="F177" s="20">
        <v>0.68731200000000003</v>
      </c>
      <c r="G177">
        <v>0.58746100000000001</v>
      </c>
      <c r="H177">
        <v>-65.001099999999994</v>
      </c>
      <c r="K177">
        <f t="shared" si="6"/>
        <v>6.3129107636558599</v>
      </c>
      <c r="L177" s="20">
        <f t="shared" si="7"/>
        <v>4.3389393227898372E-2</v>
      </c>
      <c r="M177">
        <f t="shared" si="8"/>
        <v>0.13016817968369512</v>
      </c>
      <c r="N177" s="26">
        <v>0.6</v>
      </c>
    </row>
    <row r="178" spans="1:14" x14ac:dyDescent="0.25">
      <c r="A178" t="s">
        <v>81</v>
      </c>
      <c r="B178">
        <v>1.4836406E-2</v>
      </c>
      <c r="C178" s="26">
        <v>0.6</v>
      </c>
      <c r="D178">
        <v>0.58764103999999995</v>
      </c>
      <c r="E178">
        <v>1.1559999999999999</v>
      </c>
      <c r="F178" s="21">
        <v>0.68264000000000002</v>
      </c>
      <c r="G178">
        <v>0.16863600000000001</v>
      </c>
      <c r="H178">
        <v>-35.000500000000002</v>
      </c>
      <c r="K178">
        <f t="shared" si="6"/>
        <v>6.3256375758007799</v>
      </c>
      <c r="L178" s="21">
        <f t="shared" si="7"/>
        <v>4.3181332347446442E-2</v>
      </c>
      <c r="M178">
        <f t="shared" si="8"/>
        <v>0.12954399704233932</v>
      </c>
      <c r="N178" s="26">
        <v>0.6</v>
      </c>
    </row>
    <row r="179" spans="1:14" x14ac:dyDescent="0.25">
      <c r="A179" t="s">
        <v>82</v>
      </c>
      <c r="B179">
        <v>1.4836406E-2</v>
      </c>
      <c r="C179" s="26">
        <v>0.6</v>
      </c>
      <c r="D179">
        <v>0.65480001600000004</v>
      </c>
      <c r="E179">
        <v>1.1559999999999999</v>
      </c>
      <c r="F179" s="21">
        <v>0.68341300000000005</v>
      </c>
      <c r="G179">
        <v>0.209563</v>
      </c>
      <c r="H179">
        <v>-39.000599999999999</v>
      </c>
      <c r="K179">
        <f t="shared" si="6"/>
        <v>6.3238715107029746</v>
      </c>
      <c r="L179" s="21">
        <f t="shared" si="7"/>
        <v>4.3218160007440526E-2</v>
      </c>
      <c r="M179">
        <f t="shared" si="8"/>
        <v>0.12965448002232158</v>
      </c>
      <c r="N179" s="26">
        <v>0.6</v>
      </c>
    </row>
    <row r="180" spans="1:14" x14ac:dyDescent="0.25">
      <c r="A180" t="s">
        <v>83</v>
      </c>
      <c r="B180">
        <v>1.4836406E-2</v>
      </c>
      <c r="C180" s="26">
        <v>0.6</v>
      </c>
      <c r="D180">
        <v>0.72195899200000002</v>
      </c>
      <c r="E180">
        <v>1.1559999999999999</v>
      </c>
      <c r="F180" s="21">
        <v>0.68414200000000003</v>
      </c>
      <c r="G180">
        <v>0.25495299999999999</v>
      </c>
      <c r="H180">
        <v>-43.000700000000002</v>
      </c>
      <c r="K180">
        <f t="shared" si="6"/>
        <v>6.3220374739632215</v>
      </c>
      <c r="L180" s="21">
        <f t="shared" si="7"/>
        <v>4.3251713615121465E-2</v>
      </c>
      <c r="M180">
        <f t="shared" si="8"/>
        <v>0.12975514084536438</v>
      </c>
      <c r="N180" s="26">
        <v>0.6</v>
      </c>
    </row>
    <row r="181" spans="1:14" x14ac:dyDescent="0.25">
      <c r="A181" t="s">
        <v>84</v>
      </c>
      <c r="B181">
        <v>1.4836406E-2</v>
      </c>
      <c r="C181" s="26">
        <v>0.6</v>
      </c>
      <c r="D181">
        <v>0.789117968</v>
      </c>
      <c r="E181">
        <v>1.1559999999999999</v>
      </c>
      <c r="F181" s="21">
        <v>0.68481000000000003</v>
      </c>
      <c r="G181">
        <v>0.30480099999999999</v>
      </c>
      <c r="H181">
        <v>-47.000700000000002</v>
      </c>
      <c r="K181">
        <f t="shared" si="6"/>
        <v>6.3202154719878401</v>
      </c>
      <c r="L181" s="21">
        <f t="shared" si="7"/>
        <v>4.328146757371993E-2</v>
      </c>
      <c r="M181">
        <f t="shared" si="8"/>
        <v>0.1298444027211598</v>
      </c>
      <c r="N181" s="26">
        <v>0.6</v>
      </c>
    </row>
    <row r="182" spans="1:14" x14ac:dyDescent="0.25">
      <c r="A182" t="s">
        <v>85</v>
      </c>
      <c r="B182">
        <v>1.4836406E-2</v>
      </c>
      <c r="C182" s="26">
        <v>0.6</v>
      </c>
      <c r="D182">
        <v>0.85627694399999998</v>
      </c>
      <c r="E182">
        <v>1.1559999999999999</v>
      </c>
      <c r="F182" s="21">
        <v>0.685423</v>
      </c>
      <c r="G182">
        <v>0.35911399999999999</v>
      </c>
      <c r="H182">
        <v>-51.000799999999998</v>
      </c>
      <c r="K182">
        <f t="shared" si="6"/>
        <v>6.3184991121922369</v>
      </c>
      <c r="L182" s="21">
        <f t="shared" si="7"/>
        <v>4.33084461697614E-2</v>
      </c>
      <c r="M182">
        <f t="shared" si="8"/>
        <v>0.1299253385092842</v>
      </c>
      <c r="N182" s="26">
        <v>0.6</v>
      </c>
    </row>
    <row r="183" spans="1:14" x14ac:dyDescent="0.25">
      <c r="A183" t="s">
        <v>86</v>
      </c>
      <c r="B183">
        <v>1.4836406E-2</v>
      </c>
      <c r="C183" s="26">
        <v>0.6</v>
      </c>
      <c r="D183">
        <v>0.92343591999999997</v>
      </c>
      <c r="E183">
        <v>1.1559999999999999</v>
      </c>
      <c r="F183" s="21">
        <v>0.68600700000000003</v>
      </c>
      <c r="G183">
        <v>0.41789199999999999</v>
      </c>
      <c r="H183">
        <v>-55.000900000000001</v>
      </c>
      <c r="K183">
        <f t="shared" si="6"/>
        <v>6.3166986821775337</v>
      </c>
      <c r="L183" s="21">
        <f t="shared" si="7"/>
        <v>4.3332995128645635E-2</v>
      </c>
      <c r="M183">
        <f t="shared" si="8"/>
        <v>0.1299989853859369</v>
      </c>
      <c r="N183" s="26">
        <v>0.6</v>
      </c>
    </row>
    <row r="184" spans="1:14" x14ac:dyDescent="0.25">
      <c r="A184" t="s">
        <v>87</v>
      </c>
      <c r="B184">
        <v>1.4836406E-2</v>
      </c>
      <c r="C184" s="26">
        <v>0.6</v>
      </c>
      <c r="D184">
        <v>0.25053900000000001</v>
      </c>
      <c r="E184">
        <v>1.1499999999999999</v>
      </c>
      <c r="F184" s="25">
        <v>0.680867</v>
      </c>
      <c r="G184">
        <v>3.0718700000000002E-2</v>
      </c>
      <c r="H184">
        <v>-15.0001</v>
      </c>
      <c r="K184">
        <f t="shared" si="6"/>
        <v>6.3227567682872676</v>
      </c>
      <c r="L184" s="25">
        <f t="shared" si="7"/>
        <v>4.3049564325534466E-2</v>
      </c>
      <c r="M184">
        <f t="shared" si="8"/>
        <v>0.12914869297660339</v>
      </c>
      <c r="N184" s="26">
        <v>0.6</v>
      </c>
    </row>
    <row r="185" spans="1:14" x14ac:dyDescent="0.25">
      <c r="A185" t="s">
        <v>88</v>
      </c>
      <c r="B185">
        <v>1.4836406E-2</v>
      </c>
      <c r="C185" s="26">
        <v>0.6</v>
      </c>
      <c r="D185">
        <v>0.322121571</v>
      </c>
      <c r="E185">
        <v>1.1499999999999999</v>
      </c>
      <c r="F185" s="25">
        <v>0.68063200000000001</v>
      </c>
      <c r="G185">
        <v>5.0791200000000002E-2</v>
      </c>
      <c r="H185">
        <v>-19.285900000000002</v>
      </c>
      <c r="K185">
        <f t="shared" si="6"/>
        <v>6.3263108201367881</v>
      </c>
      <c r="L185" s="25">
        <f t="shared" si="7"/>
        <v>4.3058895861313423E-2</v>
      </c>
      <c r="M185">
        <f t="shared" si="8"/>
        <v>0.12917668758394027</v>
      </c>
      <c r="N185" s="26">
        <v>0.6</v>
      </c>
    </row>
    <row r="186" spans="1:14" x14ac:dyDescent="0.25">
      <c r="A186" t="s">
        <v>89</v>
      </c>
      <c r="B186">
        <v>1.4836406E-2</v>
      </c>
      <c r="C186" s="26">
        <v>0.6</v>
      </c>
      <c r="D186">
        <v>0.39370414300000001</v>
      </c>
      <c r="E186">
        <v>1.1499999999999999</v>
      </c>
      <c r="F186" s="25">
        <v>0.68080799999999997</v>
      </c>
      <c r="G186">
        <v>7.59079E-2</v>
      </c>
      <c r="H186">
        <v>-23.5717</v>
      </c>
      <c r="K186">
        <f t="shared" si="6"/>
        <v>6.3275378662061383</v>
      </c>
      <c r="L186" s="25">
        <f t="shared" si="7"/>
        <v>4.3078383996160687E-2</v>
      </c>
      <c r="M186">
        <f t="shared" si="8"/>
        <v>0.12923515198848207</v>
      </c>
      <c r="N186" s="26">
        <v>0.6</v>
      </c>
    </row>
    <row r="187" spans="1:14" x14ac:dyDescent="0.25">
      <c r="A187" t="s">
        <v>90</v>
      </c>
      <c r="B187">
        <v>1.4836406E-2</v>
      </c>
      <c r="C187" s="26">
        <v>0.6</v>
      </c>
      <c r="D187">
        <v>0.46528671399999999</v>
      </c>
      <c r="E187">
        <v>1.1499999999999999</v>
      </c>
      <c r="F187" s="25">
        <v>0.68133299999999997</v>
      </c>
      <c r="G187">
        <v>0.10610600000000001</v>
      </c>
      <c r="H187">
        <v>-27.857500000000002</v>
      </c>
      <c r="K187">
        <f t="shared" si="6"/>
        <v>6.3277669637605118</v>
      </c>
      <c r="L187" s="25">
        <f t="shared" si="7"/>
        <v>4.3113164487198409E-2</v>
      </c>
      <c r="M187">
        <f t="shared" si="8"/>
        <v>0.12933949346159523</v>
      </c>
      <c r="N187" s="26">
        <v>0.6</v>
      </c>
    </row>
    <row r="188" spans="1:14" x14ac:dyDescent="0.25">
      <c r="A188" t="s">
        <v>91</v>
      </c>
      <c r="B188">
        <v>1.4836406E-2</v>
      </c>
      <c r="C188" s="26">
        <v>0.6</v>
      </c>
      <c r="D188">
        <v>0.53686928599999995</v>
      </c>
      <c r="E188">
        <v>1.1499999999999999</v>
      </c>
      <c r="F188" s="25">
        <v>0.68205899999999997</v>
      </c>
      <c r="G188">
        <v>0.14139399999999999</v>
      </c>
      <c r="H188">
        <v>-32.143300000000004</v>
      </c>
      <c r="K188">
        <f t="shared" si="6"/>
        <v>6.3267744210669168</v>
      </c>
      <c r="L188" s="25">
        <f t="shared" si="7"/>
        <v>4.31523343485848E-2</v>
      </c>
      <c r="M188">
        <f t="shared" si="8"/>
        <v>0.12945700304575442</v>
      </c>
      <c r="N188" s="26">
        <v>0.6</v>
      </c>
    </row>
    <row r="189" spans="1:14" x14ac:dyDescent="0.25">
      <c r="A189" t="s">
        <v>92</v>
      </c>
      <c r="B189">
        <v>1.4836406E-2</v>
      </c>
      <c r="C189" s="26">
        <v>0.6</v>
      </c>
      <c r="D189">
        <v>0.60845185700000004</v>
      </c>
      <c r="E189">
        <v>1.1499999999999999</v>
      </c>
      <c r="F189" s="25">
        <v>0.68288199999999999</v>
      </c>
      <c r="G189">
        <v>0.181784</v>
      </c>
      <c r="H189">
        <v>-36.429099999999998</v>
      </c>
      <c r="K189">
        <f t="shared" si="6"/>
        <v>6.3250992263830259</v>
      </c>
      <c r="L189" s="25">
        <f t="shared" si="7"/>
        <v>4.319296409910893E-2</v>
      </c>
      <c r="M189">
        <f t="shared" si="8"/>
        <v>0.12957889229732678</v>
      </c>
      <c r="N189" s="26">
        <v>0.6</v>
      </c>
    </row>
    <row r="190" spans="1:14" x14ac:dyDescent="0.25">
      <c r="A190" t="s">
        <v>93</v>
      </c>
      <c r="B190">
        <v>1.4836406E-2</v>
      </c>
      <c r="C190" s="26">
        <v>0.6</v>
      </c>
      <c r="D190">
        <v>0.680034429</v>
      </c>
      <c r="E190">
        <v>1.1499999999999999</v>
      </c>
      <c r="F190" s="25">
        <v>0.68369599999999997</v>
      </c>
      <c r="G190">
        <v>0.227275</v>
      </c>
      <c r="H190">
        <v>-40.7149</v>
      </c>
      <c r="K190">
        <f t="shared" si="6"/>
        <v>6.3231883608148935</v>
      </c>
      <c r="L190" s="25">
        <f t="shared" si="7"/>
        <v>4.3231385895356994E-2</v>
      </c>
      <c r="M190">
        <f t="shared" si="8"/>
        <v>0.12969415768607098</v>
      </c>
      <c r="N190" s="26">
        <v>0.6</v>
      </c>
    </row>
    <row r="191" spans="1:14" x14ac:dyDescent="0.25">
      <c r="A191" t="s">
        <v>94</v>
      </c>
      <c r="B191">
        <v>1.4836406E-2</v>
      </c>
      <c r="C191" s="26">
        <v>0.6</v>
      </c>
      <c r="D191">
        <v>0.75161699999999998</v>
      </c>
      <c r="E191">
        <v>1.1499999999999999</v>
      </c>
      <c r="F191" s="25">
        <v>0.68444700000000003</v>
      </c>
      <c r="G191">
        <v>0.27786100000000002</v>
      </c>
      <c r="H191">
        <v>-45.000700000000002</v>
      </c>
      <c r="K191">
        <f t="shared" si="6"/>
        <v>6.3212572966741609</v>
      </c>
      <c r="L191" s="25">
        <f t="shared" si="7"/>
        <v>4.3265655929367403E-2</v>
      </c>
      <c r="M191">
        <f t="shared" si="8"/>
        <v>0.12979696778810221</v>
      </c>
      <c r="N191" s="26">
        <v>0.6</v>
      </c>
    </row>
    <row r="192" spans="1:14" x14ac:dyDescent="0.25">
      <c r="A192" t="s">
        <v>95</v>
      </c>
      <c r="B192">
        <v>1.4836406E-2</v>
      </c>
      <c r="C192" s="26">
        <v>0.6</v>
      </c>
      <c r="D192">
        <v>3.7795409000000002E-2</v>
      </c>
      <c r="E192">
        <v>1.145</v>
      </c>
      <c r="F192" s="22">
        <v>0.67383300000000002</v>
      </c>
      <c r="G192">
        <v>6.9722100000000004E-4</v>
      </c>
      <c r="H192">
        <v>-2.2726500000000001</v>
      </c>
      <c r="K192">
        <f t="shared" si="6"/>
        <v>6.3445329783124613</v>
      </c>
      <c r="L192" s="22">
        <f t="shared" si="7"/>
        <v>4.2751556903752208E-2</v>
      </c>
      <c r="M192">
        <f t="shared" si="8"/>
        <v>0.12825467071125662</v>
      </c>
      <c r="N192" s="26">
        <v>0.6</v>
      </c>
    </row>
    <row r="193" spans="1:14" x14ac:dyDescent="0.25">
      <c r="A193" t="s">
        <v>96</v>
      </c>
      <c r="B193">
        <v>1.4836406E-2</v>
      </c>
      <c r="C193" s="26">
        <v>0.6</v>
      </c>
      <c r="D193">
        <v>7.5590818000000004E-2</v>
      </c>
      <c r="E193">
        <v>1.145</v>
      </c>
      <c r="F193" s="22">
        <v>0.68357900000000005</v>
      </c>
      <c r="G193">
        <v>2.8022799999999999E-3</v>
      </c>
      <c r="H193">
        <v>-4.5453999999999999</v>
      </c>
      <c r="K193">
        <f t="shared" si="6"/>
        <v>6.2838410343170032</v>
      </c>
      <c r="L193" s="22">
        <f t="shared" si="7"/>
        <v>4.2955017703973829E-2</v>
      </c>
      <c r="M193">
        <f t="shared" si="8"/>
        <v>0.12886505311192148</v>
      </c>
      <c r="N193" s="26">
        <v>0.6</v>
      </c>
    </row>
    <row r="194" spans="1:14" x14ac:dyDescent="0.25">
      <c r="A194" t="s">
        <v>97</v>
      </c>
      <c r="B194">
        <v>1.4836406E-2</v>
      </c>
      <c r="C194" s="26">
        <v>0.6</v>
      </c>
      <c r="D194">
        <v>0.11338622700000001</v>
      </c>
      <c r="E194">
        <v>1.145</v>
      </c>
      <c r="F194" s="22">
        <v>0.68139400000000006</v>
      </c>
      <c r="G194">
        <v>6.3058999999999997E-3</v>
      </c>
      <c r="H194">
        <v>-6.8181599999999998</v>
      </c>
      <c r="K194">
        <f t="shared" si="6"/>
        <v>6.304650083563164</v>
      </c>
      <c r="L194" s="22">
        <f t="shared" si="7"/>
        <v>4.2959507390394391E-2</v>
      </c>
      <c r="M194">
        <f t="shared" si="8"/>
        <v>0.12887852217118317</v>
      </c>
      <c r="N194" s="26">
        <v>0.6</v>
      </c>
    </row>
    <row r="195" spans="1:14" x14ac:dyDescent="0.25">
      <c r="A195" t="s">
        <v>98</v>
      </c>
      <c r="B195">
        <v>1.4836406E-2</v>
      </c>
      <c r="C195" s="26">
        <v>0.6</v>
      </c>
      <c r="D195">
        <v>0.15118163600000001</v>
      </c>
      <c r="E195">
        <v>1.145</v>
      </c>
      <c r="F195" s="22">
        <v>0.68127700000000002</v>
      </c>
      <c r="G195">
        <v>1.1223800000000001E-2</v>
      </c>
      <c r="H195">
        <v>-9.0909300000000002</v>
      </c>
      <c r="K195">
        <f t="shared" si="6"/>
        <v>6.3131506773464841</v>
      </c>
      <c r="L195" s="22">
        <f t="shared" si="7"/>
        <v>4.3010043540105805E-2</v>
      </c>
      <c r="M195">
        <f t="shared" si="8"/>
        <v>0.12903013062031743</v>
      </c>
      <c r="N195" s="26">
        <v>0.6</v>
      </c>
    </row>
    <row r="196" spans="1:14" x14ac:dyDescent="0.25">
      <c r="A196" t="s">
        <v>99</v>
      </c>
      <c r="B196">
        <v>1.4836406E-2</v>
      </c>
      <c r="C196" s="26">
        <v>0.6</v>
      </c>
      <c r="D196">
        <v>0.18897704500000001</v>
      </c>
      <c r="E196">
        <v>1.145</v>
      </c>
      <c r="F196" s="22">
        <v>0.68135000000000001</v>
      </c>
      <c r="G196">
        <v>1.75493E-2</v>
      </c>
      <c r="H196">
        <v>-11.3637</v>
      </c>
      <c r="K196">
        <f t="shared" si="6"/>
        <v>6.3167924633529813</v>
      </c>
      <c r="L196" s="22">
        <f t="shared" si="7"/>
        <v>4.3039465449055542E-2</v>
      </c>
      <c r="M196">
        <f t="shared" si="8"/>
        <v>0.12911839634716663</v>
      </c>
      <c r="N196" s="26">
        <v>0.6</v>
      </c>
    </row>
    <row r="197" spans="1:14" x14ac:dyDescent="0.25">
      <c r="A197" t="s">
        <v>100</v>
      </c>
      <c r="B197">
        <v>1.4836406E-2</v>
      </c>
      <c r="C197" s="26">
        <v>0.6</v>
      </c>
      <c r="D197">
        <v>0.22677245500000001</v>
      </c>
      <c r="E197">
        <v>1.145</v>
      </c>
      <c r="F197" s="22">
        <v>0.68107200000000001</v>
      </c>
      <c r="G197">
        <v>2.5275499999999999E-2</v>
      </c>
      <c r="H197">
        <v>-13.6365</v>
      </c>
      <c r="K197">
        <f t="shared" si="6"/>
        <v>6.3204425217781193</v>
      </c>
      <c r="L197" s="22">
        <f t="shared" si="7"/>
        <v>4.3046764291924673E-2</v>
      </c>
      <c r="M197">
        <f t="shared" si="8"/>
        <v>0.12914029287577403</v>
      </c>
      <c r="N197" s="26">
        <v>0.6</v>
      </c>
    </row>
    <row r="198" spans="1:14" x14ac:dyDescent="0.25">
      <c r="A198" t="s">
        <v>101</v>
      </c>
      <c r="B198">
        <v>1.4836406E-2</v>
      </c>
      <c r="C198" s="26">
        <v>0.6</v>
      </c>
      <c r="D198">
        <v>0.26456786399999999</v>
      </c>
      <c r="E198">
        <v>1.145</v>
      </c>
      <c r="F198" s="22">
        <v>0.68081599999999998</v>
      </c>
      <c r="G198">
        <v>3.4407300000000002E-2</v>
      </c>
      <c r="H198">
        <v>-15.9092</v>
      </c>
      <c r="K198">
        <f t="shared" ref="K198:K261" si="9">(L198/F198)*100</f>
        <v>6.3236925623375422</v>
      </c>
      <c r="L198" s="22">
        <f t="shared" ref="L198:L261" si="10">G198/($D$3*((E198*H198^2)/2))</f>
        <v>4.3052710755203963E-2</v>
      </c>
      <c r="M198">
        <f t="shared" ref="M198:M261" si="11">L198*3</f>
        <v>0.1291581322656119</v>
      </c>
      <c r="N198" s="26">
        <v>0.6</v>
      </c>
    </row>
    <row r="199" spans="1:14" x14ac:dyDescent="0.25">
      <c r="A199" t="s">
        <v>102</v>
      </c>
      <c r="B199">
        <v>1.4836406E-2</v>
      </c>
      <c r="C199" s="26">
        <v>0.6</v>
      </c>
      <c r="D199">
        <v>0.30236327299999999</v>
      </c>
      <c r="E199">
        <v>1.145</v>
      </c>
      <c r="F199" s="22">
        <v>0.68068399999999996</v>
      </c>
      <c r="G199">
        <v>4.4944600000000001E-2</v>
      </c>
      <c r="H199">
        <v>-18.181999999999999</v>
      </c>
      <c r="K199">
        <f t="shared" si="9"/>
        <v>6.3255058370826758</v>
      </c>
      <c r="L199" s="22">
        <f t="shared" si="10"/>
        <v>4.3056706152087842E-2</v>
      </c>
      <c r="M199">
        <f t="shared" si="11"/>
        <v>0.12917011845626353</v>
      </c>
      <c r="N199" s="26">
        <v>0.6</v>
      </c>
    </row>
    <row r="200" spans="1:14" x14ac:dyDescent="0.25">
      <c r="A200" t="s">
        <v>103</v>
      </c>
      <c r="B200">
        <v>1.4836406E-2</v>
      </c>
      <c r="C200" s="26">
        <v>0.6</v>
      </c>
      <c r="D200">
        <v>0.34015868199999999</v>
      </c>
      <c r="E200">
        <v>1.145</v>
      </c>
      <c r="F200" s="22">
        <v>0.68062100000000003</v>
      </c>
      <c r="G200">
        <v>5.6890099999999999E-2</v>
      </c>
      <c r="H200">
        <v>-20.454799999999999</v>
      </c>
      <c r="K200">
        <f t="shared" si="9"/>
        <v>6.3268489757443662</v>
      </c>
      <c r="L200" s="22">
        <f t="shared" si="10"/>
        <v>4.3061862767201059E-2</v>
      </c>
      <c r="M200">
        <f t="shared" si="11"/>
        <v>0.12918558830160318</v>
      </c>
      <c r="N200" s="26">
        <v>0.6</v>
      </c>
    </row>
    <row r="201" spans="1:14" x14ac:dyDescent="0.25">
      <c r="A201" t="s">
        <v>104</v>
      </c>
      <c r="B201">
        <v>1.4836406E-2</v>
      </c>
      <c r="C201" s="26">
        <v>0.6</v>
      </c>
      <c r="D201">
        <v>0.37795409099999999</v>
      </c>
      <c r="E201">
        <v>1.145</v>
      </c>
      <c r="F201" s="22">
        <v>0.68073600000000001</v>
      </c>
      <c r="G201">
        <v>7.0252800000000004E-2</v>
      </c>
      <c r="H201">
        <v>-22.727499999999999</v>
      </c>
      <c r="K201">
        <f t="shared" si="9"/>
        <v>6.327442063250162</v>
      </c>
      <c r="L201" s="22">
        <f t="shared" si="10"/>
        <v>4.3073176003686618E-2</v>
      </c>
      <c r="M201">
        <f t="shared" si="11"/>
        <v>0.12921952801105985</v>
      </c>
      <c r="N201" s="26">
        <v>0.6</v>
      </c>
    </row>
    <row r="202" spans="1:14" x14ac:dyDescent="0.25">
      <c r="A202" t="s">
        <v>105</v>
      </c>
      <c r="B202">
        <v>1.4836406E-2</v>
      </c>
      <c r="C202" s="26">
        <v>0.6</v>
      </c>
      <c r="D202">
        <v>0.41574949999999999</v>
      </c>
      <c r="E202">
        <v>1.145</v>
      </c>
      <c r="F202" s="22">
        <v>0.68093400000000004</v>
      </c>
      <c r="G202">
        <v>8.5034299999999993E-2</v>
      </c>
      <c r="H202">
        <v>-25.000299999999999</v>
      </c>
      <c r="K202">
        <f t="shared" si="9"/>
        <v>6.3276911194789855</v>
      </c>
      <c r="L202" s="22">
        <f t="shared" si="10"/>
        <v>4.3087400247513043E-2</v>
      </c>
      <c r="M202">
        <f t="shared" si="11"/>
        <v>0.12926220074253914</v>
      </c>
      <c r="N202" s="26">
        <v>0.6</v>
      </c>
    </row>
    <row r="203" spans="1:14" x14ac:dyDescent="0.25">
      <c r="A203" t="s">
        <v>106</v>
      </c>
      <c r="B203">
        <v>1.7118578999999998E-2</v>
      </c>
      <c r="C203" s="26">
        <v>0.7</v>
      </c>
      <c r="D203">
        <v>0.93302176000000003</v>
      </c>
      <c r="E203">
        <v>1.1679999999999999</v>
      </c>
      <c r="F203" s="18">
        <v>0.71323099999999995</v>
      </c>
      <c r="G203">
        <v>0.49940499999999999</v>
      </c>
      <c r="H203">
        <v>-55.000900000000001</v>
      </c>
      <c r="K203">
        <f t="shared" si="9"/>
        <v>7.1860844570990334</v>
      </c>
      <c r="L203" s="18">
        <f t="shared" si="10"/>
        <v>5.1253382034212001E-2</v>
      </c>
      <c r="M203">
        <f t="shared" si="11"/>
        <v>0.153760146102636</v>
      </c>
      <c r="N203" s="26">
        <v>0.7</v>
      </c>
    </row>
    <row r="204" spans="1:14" x14ac:dyDescent="0.25">
      <c r="A204" t="s">
        <v>107</v>
      </c>
      <c r="B204">
        <v>1.7118578999999998E-2</v>
      </c>
      <c r="C204" s="26">
        <v>0.7</v>
      </c>
      <c r="D204">
        <v>1.074388693</v>
      </c>
      <c r="E204">
        <v>1.1679999999999999</v>
      </c>
      <c r="F204" s="18">
        <v>0.71414699999999998</v>
      </c>
      <c r="G204">
        <v>0.66284299999999996</v>
      </c>
      <c r="H204">
        <v>-63.334400000000002</v>
      </c>
      <c r="K204">
        <f t="shared" si="9"/>
        <v>7.1837791292893192</v>
      </c>
      <c r="L204" s="18">
        <f t="shared" si="10"/>
        <v>5.1302743138445794E-2</v>
      </c>
      <c r="M204">
        <f t="shared" si="11"/>
        <v>0.15390822941533738</v>
      </c>
      <c r="N204" s="26">
        <v>0.7</v>
      </c>
    </row>
    <row r="205" spans="1:14" x14ac:dyDescent="0.25">
      <c r="A205" t="s">
        <v>108</v>
      </c>
      <c r="B205">
        <v>1.7118578999999998E-2</v>
      </c>
      <c r="C205" s="26">
        <v>0.7</v>
      </c>
      <c r="D205">
        <v>1.2157556270000001</v>
      </c>
      <c r="E205">
        <v>1.1679999999999999</v>
      </c>
      <c r="F205" s="18">
        <v>0.71492699999999998</v>
      </c>
      <c r="G205">
        <v>0.84943999999999997</v>
      </c>
      <c r="H205">
        <v>-71.667900000000003</v>
      </c>
      <c r="K205">
        <f t="shared" si="9"/>
        <v>7.1817599573322664</v>
      </c>
      <c r="L205" s="18">
        <f t="shared" si="10"/>
        <v>5.1344341010156849E-2</v>
      </c>
      <c r="M205">
        <f t="shared" si="11"/>
        <v>0.15403302303047056</v>
      </c>
      <c r="N205" s="26">
        <v>0.7</v>
      </c>
    </row>
    <row r="206" spans="1:14" x14ac:dyDescent="0.25">
      <c r="A206" t="s">
        <v>109</v>
      </c>
      <c r="B206">
        <v>1.7118578999999998E-2</v>
      </c>
      <c r="C206" s="26">
        <v>0.7</v>
      </c>
      <c r="D206">
        <v>1.3571225600000001</v>
      </c>
      <c r="E206">
        <v>1.1679999999999999</v>
      </c>
      <c r="F206" s="18">
        <v>0.71562199999999998</v>
      </c>
      <c r="G206">
        <v>1.05925</v>
      </c>
      <c r="H206">
        <v>-80.001400000000004</v>
      </c>
      <c r="K206">
        <f t="shared" si="9"/>
        <v>7.1800728286288678</v>
      </c>
      <c r="L206" s="18">
        <f t="shared" si="10"/>
        <v>5.1382180777690481E-2</v>
      </c>
      <c r="M206">
        <f t="shared" si="11"/>
        <v>0.15414654233307146</v>
      </c>
      <c r="N206" s="26">
        <v>0.7</v>
      </c>
    </row>
    <row r="207" spans="1:14" x14ac:dyDescent="0.25">
      <c r="A207" t="s">
        <v>110</v>
      </c>
      <c r="B207">
        <v>1.7118578999999998E-2</v>
      </c>
      <c r="C207" s="26">
        <v>0.7</v>
      </c>
      <c r="D207">
        <v>0.75945996000000004</v>
      </c>
      <c r="E207">
        <v>1.1619999999999999</v>
      </c>
      <c r="F207" s="20">
        <v>0.71206800000000003</v>
      </c>
      <c r="G207">
        <v>0.33217099999999999</v>
      </c>
      <c r="H207">
        <v>-45.000700000000002</v>
      </c>
      <c r="K207">
        <f t="shared" si="9"/>
        <v>7.188655224225819</v>
      </c>
      <c r="L207" s="20">
        <f t="shared" si="10"/>
        <v>5.1188113482040311E-2</v>
      </c>
      <c r="M207">
        <f t="shared" si="11"/>
        <v>0.15356434044612094</v>
      </c>
      <c r="N207" s="26">
        <v>0.7</v>
      </c>
    </row>
    <row r="208" spans="1:14" x14ac:dyDescent="0.25">
      <c r="A208" t="s">
        <v>111</v>
      </c>
      <c r="B208">
        <v>1.7118578999999998E-2</v>
      </c>
      <c r="C208" s="26">
        <v>0.7</v>
      </c>
      <c r="D208">
        <v>0.87197254700000004</v>
      </c>
      <c r="E208">
        <v>1.1619999999999999</v>
      </c>
      <c r="F208" s="20">
        <v>0.71283799999999997</v>
      </c>
      <c r="G208">
        <v>0.43825399999999998</v>
      </c>
      <c r="H208">
        <v>-51.667499999999997</v>
      </c>
      <c r="K208">
        <f t="shared" si="9"/>
        <v>7.1869744066496599</v>
      </c>
      <c r="L208" s="20">
        <f t="shared" si="10"/>
        <v>5.1231484620873305E-2</v>
      </c>
      <c r="M208">
        <f t="shared" si="11"/>
        <v>0.15369445386261993</v>
      </c>
      <c r="N208" s="26">
        <v>0.7</v>
      </c>
    </row>
    <row r="209" spans="1:14" x14ac:dyDescent="0.25">
      <c r="A209" t="s">
        <v>112</v>
      </c>
      <c r="B209">
        <v>1.7118578999999998E-2</v>
      </c>
      <c r="C209" s="26">
        <v>0.7</v>
      </c>
      <c r="D209">
        <v>0.98448513299999996</v>
      </c>
      <c r="E209">
        <v>1.1619999999999999</v>
      </c>
      <c r="F209" s="20">
        <v>0.71358200000000005</v>
      </c>
      <c r="G209">
        <v>0.55909200000000003</v>
      </c>
      <c r="H209">
        <v>-58.334299999999999</v>
      </c>
      <c r="K209">
        <f t="shared" si="9"/>
        <v>7.1851751454195245</v>
      </c>
      <c r="L209" s="20">
        <f t="shared" si="10"/>
        <v>5.1272116506187557E-2</v>
      </c>
      <c r="M209">
        <f t="shared" si="11"/>
        <v>0.15381634951856266</v>
      </c>
      <c r="N209" s="26">
        <v>0.7</v>
      </c>
    </row>
    <row r="210" spans="1:14" x14ac:dyDescent="0.25">
      <c r="A210" t="s">
        <v>113</v>
      </c>
      <c r="B210">
        <v>1.7118578999999998E-2</v>
      </c>
      <c r="C210" s="26">
        <v>0.7</v>
      </c>
      <c r="D210">
        <v>1.0969977200000001</v>
      </c>
      <c r="E210">
        <v>1.1619999999999999</v>
      </c>
      <c r="F210" s="20">
        <v>0.714279</v>
      </c>
      <c r="G210">
        <v>0.69469599999999998</v>
      </c>
      <c r="H210">
        <v>-65.001099999999994</v>
      </c>
      <c r="K210">
        <f t="shared" si="9"/>
        <v>7.1834231997016138</v>
      </c>
      <c r="L210" s="20">
        <f t="shared" si="10"/>
        <v>5.1309683396596688E-2</v>
      </c>
      <c r="M210">
        <f t="shared" si="11"/>
        <v>0.15392905018979006</v>
      </c>
      <c r="N210" s="26">
        <v>0.7</v>
      </c>
    </row>
    <row r="211" spans="1:14" x14ac:dyDescent="0.25">
      <c r="A211" t="s">
        <v>114</v>
      </c>
      <c r="B211">
        <v>1.7118578999999998E-2</v>
      </c>
      <c r="C211" s="26">
        <v>0.7</v>
      </c>
      <c r="D211">
        <v>0.58764103999999995</v>
      </c>
      <c r="E211">
        <v>1.1559999999999999</v>
      </c>
      <c r="F211" s="21">
        <v>0.710947</v>
      </c>
      <c r="G211">
        <v>0.19962299999999999</v>
      </c>
      <c r="H211">
        <v>-35.000500000000002</v>
      </c>
      <c r="K211">
        <f t="shared" si="9"/>
        <v>7.1898378830923386</v>
      </c>
      <c r="L211" s="21">
        <f t="shared" si="10"/>
        <v>5.1115936734708489E-2</v>
      </c>
      <c r="M211">
        <f t="shared" si="11"/>
        <v>0.15334781020412547</v>
      </c>
      <c r="N211" s="26">
        <v>0.7</v>
      </c>
    </row>
    <row r="212" spans="1:14" x14ac:dyDescent="0.25">
      <c r="A212" t="s">
        <v>115</v>
      </c>
      <c r="B212">
        <v>1.7118578999999998E-2</v>
      </c>
      <c r="C212" s="26">
        <v>0.7</v>
      </c>
      <c r="D212">
        <v>0.65480001600000004</v>
      </c>
      <c r="E212">
        <v>1.1559999999999999</v>
      </c>
      <c r="F212" s="21">
        <v>0.71135099999999996</v>
      </c>
      <c r="G212">
        <v>0.24799199999999999</v>
      </c>
      <c r="H212">
        <v>-39.000599999999999</v>
      </c>
      <c r="K212">
        <f t="shared" si="9"/>
        <v>7.1896109616130532</v>
      </c>
      <c r="L212" s="21">
        <f t="shared" si="10"/>
        <v>5.1143369471544069E-2</v>
      </c>
      <c r="M212">
        <f t="shared" si="11"/>
        <v>0.1534301084146322</v>
      </c>
      <c r="N212" s="26">
        <v>0.7</v>
      </c>
    </row>
    <row r="213" spans="1:14" x14ac:dyDescent="0.25">
      <c r="A213" t="s">
        <v>116</v>
      </c>
      <c r="B213">
        <v>1.7118578999999998E-2</v>
      </c>
      <c r="C213" s="26">
        <v>0.7</v>
      </c>
      <c r="D213">
        <v>0.72195899200000002</v>
      </c>
      <c r="E213">
        <v>1.1559999999999999</v>
      </c>
      <c r="F213" s="21">
        <v>0.71179899999999996</v>
      </c>
      <c r="G213">
        <v>0.30164200000000002</v>
      </c>
      <c r="H213">
        <v>-43.000700000000002</v>
      </c>
      <c r="K213">
        <f t="shared" si="9"/>
        <v>7.1891514079723828</v>
      </c>
      <c r="L213" s="21">
        <f t="shared" si="10"/>
        <v>5.117230783043334E-2</v>
      </c>
      <c r="M213">
        <f t="shared" si="11"/>
        <v>0.15351692349130003</v>
      </c>
      <c r="N213" s="26">
        <v>0.7</v>
      </c>
    </row>
    <row r="214" spans="1:14" x14ac:dyDescent="0.25">
      <c r="A214" t="s">
        <v>117</v>
      </c>
      <c r="B214">
        <v>1.7118578999999998E-2</v>
      </c>
      <c r="C214" s="26">
        <v>0.7</v>
      </c>
      <c r="D214">
        <v>0.789117968</v>
      </c>
      <c r="E214">
        <v>1.1559999999999999</v>
      </c>
      <c r="F214" s="21">
        <v>0.71228400000000003</v>
      </c>
      <c r="G214">
        <v>0.36056899999999997</v>
      </c>
      <c r="H214">
        <v>-47.000799999999998</v>
      </c>
      <c r="K214">
        <f t="shared" si="9"/>
        <v>7.188179924415615</v>
      </c>
      <c r="L214" s="21">
        <f t="shared" si="10"/>
        <v>5.1200255492824517E-2</v>
      </c>
      <c r="M214">
        <f t="shared" si="11"/>
        <v>0.15360076647847354</v>
      </c>
      <c r="N214" s="26">
        <v>0.7</v>
      </c>
    </row>
    <row r="215" spans="1:14" x14ac:dyDescent="0.25">
      <c r="A215" t="s">
        <v>118</v>
      </c>
      <c r="B215">
        <v>1.7118578999999998E-2</v>
      </c>
      <c r="C215" s="26">
        <v>0.7</v>
      </c>
      <c r="D215">
        <v>0.85627694399999998</v>
      </c>
      <c r="E215">
        <v>1.1559999999999999</v>
      </c>
      <c r="F215" s="21">
        <v>0.71273799999999998</v>
      </c>
      <c r="G215">
        <v>0.42476599999999998</v>
      </c>
      <c r="H215">
        <v>-51.000799999999998</v>
      </c>
      <c r="K215">
        <f t="shared" si="9"/>
        <v>7.1872060968290903</v>
      </c>
      <c r="L215" s="21">
        <f t="shared" si="10"/>
        <v>5.1225948990417727E-2</v>
      </c>
      <c r="M215">
        <f t="shared" si="11"/>
        <v>0.1536778469712532</v>
      </c>
      <c r="N215" s="26">
        <v>0.7</v>
      </c>
    </row>
    <row r="216" spans="1:14" x14ac:dyDescent="0.25">
      <c r="A216" t="s">
        <v>119</v>
      </c>
      <c r="B216">
        <v>1.7118578999999998E-2</v>
      </c>
      <c r="C216" s="26">
        <v>0.7</v>
      </c>
      <c r="D216">
        <v>0.92343591999999997</v>
      </c>
      <c r="E216">
        <v>1.1559999999999999</v>
      </c>
      <c r="F216" s="21">
        <v>0.71316599999999997</v>
      </c>
      <c r="G216">
        <v>0.49424000000000001</v>
      </c>
      <c r="H216">
        <v>-55.000900000000001</v>
      </c>
      <c r="K216">
        <f t="shared" si="9"/>
        <v>7.186243215544132</v>
      </c>
      <c r="L216" s="21">
        <f t="shared" si="10"/>
        <v>5.1249843290567462E-2</v>
      </c>
      <c r="M216">
        <f t="shared" si="11"/>
        <v>0.15374952987170237</v>
      </c>
      <c r="N216" s="26">
        <v>0.7</v>
      </c>
    </row>
    <row r="217" spans="1:14" x14ac:dyDescent="0.25">
      <c r="A217" t="s">
        <v>120</v>
      </c>
      <c r="B217">
        <v>1.7118578999999998E-2</v>
      </c>
      <c r="C217" s="26">
        <v>0.7</v>
      </c>
      <c r="D217">
        <v>0.25053900000000001</v>
      </c>
      <c r="E217">
        <v>1.1499999999999999</v>
      </c>
      <c r="F217" s="25">
        <v>0.71167100000000005</v>
      </c>
      <c r="G217">
        <v>3.6388499999999997E-2</v>
      </c>
      <c r="H217">
        <v>-15.0001</v>
      </c>
      <c r="K217">
        <f t="shared" si="9"/>
        <v>7.1655711474073831</v>
      </c>
      <c r="L217" s="25">
        <f t="shared" si="10"/>
        <v>5.0995291840465605E-2</v>
      </c>
      <c r="M217">
        <f t="shared" si="11"/>
        <v>0.15298587552139681</v>
      </c>
      <c r="N217" s="26">
        <v>0.7</v>
      </c>
    </row>
    <row r="218" spans="1:14" x14ac:dyDescent="0.25">
      <c r="A218" t="s">
        <v>121</v>
      </c>
      <c r="B218">
        <v>1.7118578999999998E-2</v>
      </c>
      <c r="C218" s="26">
        <v>0.7</v>
      </c>
      <c r="D218">
        <v>0.322121571</v>
      </c>
      <c r="E218">
        <v>1.1499999999999999</v>
      </c>
      <c r="F218" s="25">
        <v>0.71083600000000002</v>
      </c>
      <c r="G218">
        <v>6.0179799999999999E-2</v>
      </c>
      <c r="H218">
        <v>-19.285900000000002</v>
      </c>
      <c r="K218">
        <f t="shared" si="9"/>
        <v>7.1772114499359621</v>
      </c>
      <c r="L218" s="25">
        <f t="shared" si="10"/>
        <v>5.1018202782266799E-2</v>
      </c>
      <c r="M218">
        <f t="shared" si="11"/>
        <v>0.1530546083468004</v>
      </c>
      <c r="N218" s="26">
        <v>0.7</v>
      </c>
    </row>
    <row r="219" spans="1:14" x14ac:dyDescent="0.25">
      <c r="A219" t="s">
        <v>122</v>
      </c>
      <c r="B219">
        <v>1.7118578999999998E-2</v>
      </c>
      <c r="C219" s="26">
        <v>0.7</v>
      </c>
      <c r="D219">
        <v>0.39370414300000001</v>
      </c>
      <c r="E219">
        <v>1.1499999999999999</v>
      </c>
      <c r="F219" s="25">
        <v>0.71046799999999999</v>
      </c>
      <c r="G219">
        <v>8.9940099999999995E-2</v>
      </c>
      <c r="H219">
        <v>-23.5717</v>
      </c>
      <c r="K219">
        <f t="shared" si="9"/>
        <v>7.1842472556038848</v>
      </c>
      <c r="L219" s="25">
        <f t="shared" si="10"/>
        <v>5.1041777791943806E-2</v>
      </c>
      <c r="M219">
        <f t="shared" si="11"/>
        <v>0.15312533337583142</v>
      </c>
      <c r="N219" s="26">
        <v>0.7</v>
      </c>
    </row>
    <row r="220" spans="1:14" x14ac:dyDescent="0.25">
      <c r="A220" t="s">
        <v>123</v>
      </c>
      <c r="B220">
        <v>1.7118578999999998E-2</v>
      </c>
      <c r="C220" s="26">
        <v>0.7</v>
      </c>
      <c r="D220">
        <v>0.46528671399999999</v>
      </c>
      <c r="E220">
        <v>1.1499999999999999</v>
      </c>
      <c r="F220" s="25">
        <v>0.71046699999999996</v>
      </c>
      <c r="G220">
        <v>0.12568499999999999</v>
      </c>
      <c r="H220">
        <v>-27.857500000000002</v>
      </c>
      <c r="K220">
        <f t="shared" si="9"/>
        <v>7.1880236490738865</v>
      </c>
      <c r="L220" s="25">
        <f t="shared" si="10"/>
        <v>5.1068535978865771E-2</v>
      </c>
      <c r="M220">
        <f t="shared" si="11"/>
        <v>0.15320560793659732</v>
      </c>
      <c r="N220" s="26">
        <v>0.7</v>
      </c>
    </row>
    <row r="221" spans="1:14" x14ac:dyDescent="0.25">
      <c r="A221" t="s">
        <v>124</v>
      </c>
      <c r="B221">
        <v>1.7118578999999998E-2</v>
      </c>
      <c r="C221" s="26">
        <v>0.7</v>
      </c>
      <c r="D221">
        <v>0.53686928599999995</v>
      </c>
      <c r="E221">
        <v>1.1499999999999999</v>
      </c>
      <c r="F221" s="25">
        <v>0.71070800000000001</v>
      </c>
      <c r="G221">
        <v>0.16742599999999999</v>
      </c>
      <c r="H221">
        <v>-32.143300000000004</v>
      </c>
      <c r="K221">
        <f t="shared" si="9"/>
        <v>7.1896046713029325</v>
      </c>
      <c r="L221" s="25">
        <f t="shared" si="10"/>
        <v>5.1097095567323642E-2</v>
      </c>
      <c r="M221">
        <f t="shared" si="11"/>
        <v>0.15329128670197092</v>
      </c>
      <c r="N221" s="26">
        <v>0.7</v>
      </c>
    </row>
    <row r="222" spans="1:14" x14ac:dyDescent="0.25">
      <c r="A222" t="s">
        <v>125</v>
      </c>
      <c r="B222">
        <v>1.7118578999999998E-2</v>
      </c>
      <c r="C222" s="26">
        <v>0.7</v>
      </c>
      <c r="D222">
        <v>0.60845185700000004</v>
      </c>
      <c r="E222">
        <v>1.1499999999999999</v>
      </c>
      <c r="F222" s="25">
        <v>0.71106499999999995</v>
      </c>
      <c r="G222">
        <v>0.215167</v>
      </c>
      <c r="H222">
        <v>-36.429099999999998</v>
      </c>
      <c r="K222">
        <f t="shared" si="9"/>
        <v>7.1899143226013953</v>
      </c>
      <c r="L222" s="25">
        <f t="shared" si="10"/>
        <v>5.1124964278005607E-2</v>
      </c>
      <c r="M222">
        <f t="shared" si="11"/>
        <v>0.15337489283401681</v>
      </c>
      <c r="N222" s="26">
        <v>0.7</v>
      </c>
    </row>
    <row r="223" spans="1:14" x14ac:dyDescent="0.25">
      <c r="A223" t="s">
        <v>126</v>
      </c>
      <c r="B223">
        <v>1.7118578999999998E-2</v>
      </c>
      <c r="C223" s="26">
        <v>0.7</v>
      </c>
      <c r="D223">
        <v>0.680034429</v>
      </c>
      <c r="E223">
        <v>1.1499999999999999</v>
      </c>
      <c r="F223" s="25">
        <v>0.71150800000000003</v>
      </c>
      <c r="G223">
        <v>0.26892500000000003</v>
      </c>
      <c r="H223">
        <v>-40.7149</v>
      </c>
      <c r="K223">
        <f t="shared" si="9"/>
        <v>7.1895032029850094</v>
      </c>
      <c r="L223" s="25">
        <f t="shared" si="10"/>
        <v>5.1153890449494581E-2</v>
      </c>
      <c r="M223">
        <f t="shared" si="11"/>
        <v>0.15346167134848374</v>
      </c>
      <c r="N223" s="26">
        <v>0.7</v>
      </c>
    </row>
    <row r="224" spans="1:14" x14ac:dyDescent="0.25">
      <c r="A224" t="s">
        <v>127</v>
      </c>
      <c r="B224">
        <v>1.7118578999999998E-2</v>
      </c>
      <c r="C224" s="26">
        <v>0.7</v>
      </c>
      <c r="D224">
        <v>0.75161699999999998</v>
      </c>
      <c r="E224">
        <v>1.1499999999999999</v>
      </c>
      <c r="F224" s="25">
        <v>0.71201199999999998</v>
      </c>
      <c r="G224">
        <v>0.32871899999999998</v>
      </c>
      <c r="H224">
        <v>-45.000700000000002</v>
      </c>
      <c r="K224">
        <f t="shared" si="9"/>
        <v>7.1887468746287499</v>
      </c>
      <c r="L224" s="25">
        <f t="shared" si="10"/>
        <v>5.1184740396981655E-2</v>
      </c>
      <c r="M224">
        <f t="shared" si="11"/>
        <v>0.15355422119094497</v>
      </c>
      <c r="N224" s="26">
        <v>0.7</v>
      </c>
    </row>
    <row r="225" spans="1:14" x14ac:dyDescent="0.25">
      <c r="A225" t="s">
        <v>128</v>
      </c>
      <c r="B225">
        <v>1.7118578999999998E-2</v>
      </c>
      <c r="C225" s="26">
        <v>0.7</v>
      </c>
      <c r="D225">
        <v>3.7795409000000002E-2</v>
      </c>
      <c r="E225">
        <v>1.145</v>
      </c>
      <c r="F225" s="22">
        <v>0.71073799999999998</v>
      </c>
      <c r="G225">
        <v>8.2444300000000001E-4</v>
      </c>
      <c r="H225">
        <v>-2.2726500000000001</v>
      </c>
      <c r="K225">
        <f t="shared" si="9"/>
        <v>7.112668613551822</v>
      </c>
      <c r="L225" s="22">
        <f t="shared" si="10"/>
        <v>5.0552438650585944E-2</v>
      </c>
      <c r="M225">
        <f t="shared" si="11"/>
        <v>0.15165731595175783</v>
      </c>
      <c r="N225" s="26">
        <v>0.7</v>
      </c>
    </row>
    <row r="226" spans="1:14" x14ac:dyDescent="0.25">
      <c r="A226" t="s">
        <v>129</v>
      </c>
      <c r="B226">
        <v>1.7118578999999998E-2</v>
      </c>
      <c r="C226" s="26">
        <v>0.7</v>
      </c>
      <c r="D226">
        <v>7.5590818000000004E-2</v>
      </c>
      <c r="E226">
        <v>1.145</v>
      </c>
      <c r="F226" s="22">
        <v>0.71684400000000004</v>
      </c>
      <c r="G226">
        <v>3.31395E-3</v>
      </c>
      <c r="H226">
        <v>-4.5453999999999999</v>
      </c>
      <c r="K226">
        <f t="shared" si="9"/>
        <v>7.0863675172627154</v>
      </c>
      <c r="L226" s="22">
        <f t="shared" si="10"/>
        <v>5.0798200365446737E-2</v>
      </c>
      <c r="M226">
        <f t="shared" si="11"/>
        <v>0.1523946010963402</v>
      </c>
      <c r="N226" s="26">
        <v>0.7</v>
      </c>
    </row>
    <row r="227" spans="1:14" x14ac:dyDescent="0.25">
      <c r="A227" t="s">
        <v>130</v>
      </c>
      <c r="B227">
        <v>1.7118578999999998E-2</v>
      </c>
      <c r="C227" s="26">
        <v>0.7</v>
      </c>
      <c r="D227">
        <v>0.11338622700000001</v>
      </c>
      <c r="E227">
        <v>1.145</v>
      </c>
      <c r="F227" s="22">
        <v>0.71424299999999996</v>
      </c>
      <c r="G227">
        <v>7.4643699999999997E-3</v>
      </c>
      <c r="H227">
        <v>-6.8181700000000003</v>
      </c>
      <c r="K227">
        <f t="shared" si="9"/>
        <v>7.1196411652397096</v>
      </c>
      <c r="L227" s="22">
        <f t="shared" si="10"/>
        <v>5.0851538647843059E-2</v>
      </c>
      <c r="M227">
        <f t="shared" si="11"/>
        <v>0.15255461594352918</v>
      </c>
      <c r="N227" s="26">
        <v>0.7</v>
      </c>
    </row>
    <row r="228" spans="1:14" x14ac:dyDescent="0.25">
      <c r="A228" t="s">
        <v>131</v>
      </c>
      <c r="B228">
        <v>1.7118578999999998E-2</v>
      </c>
      <c r="C228" s="26">
        <v>0.7</v>
      </c>
      <c r="D228">
        <v>0.15118163600000001</v>
      </c>
      <c r="E228">
        <v>1.145</v>
      </c>
      <c r="F228" s="22">
        <v>0.71347400000000005</v>
      </c>
      <c r="G228">
        <v>1.32891E-2</v>
      </c>
      <c r="H228">
        <v>-9.0909399999999998</v>
      </c>
      <c r="K228">
        <f t="shared" si="9"/>
        <v>7.1375050007014291</v>
      </c>
      <c r="L228" s="22">
        <f t="shared" si="10"/>
        <v>5.0924242428704518E-2</v>
      </c>
      <c r="M228">
        <f t="shared" si="11"/>
        <v>0.15277272728611355</v>
      </c>
      <c r="N228" s="26">
        <v>0.7</v>
      </c>
    </row>
    <row r="229" spans="1:14" x14ac:dyDescent="0.25">
      <c r="A229" t="s">
        <v>132</v>
      </c>
      <c r="B229">
        <v>1.7118578999999998E-2</v>
      </c>
      <c r="C229" s="26">
        <v>0.7</v>
      </c>
      <c r="D229">
        <v>0.18897704500000001</v>
      </c>
      <c r="E229">
        <v>1.145</v>
      </c>
      <c r="F229" s="22">
        <v>0.71268799999999999</v>
      </c>
      <c r="G229">
        <v>2.0779200000000001E-2</v>
      </c>
      <c r="H229">
        <v>-11.3637</v>
      </c>
      <c r="K229">
        <f t="shared" si="9"/>
        <v>7.1505005997822852</v>
      </c>
      <c r="L229" s="22">
        <f t="shared" si="10"/>
        <v>5.0960759714576365E-2</v>
      </c>
      <c r="M229">
        <f t="shared" si="11"/>
        <v>0.15288227914372909</v>
      </c>
      <c r="N229" s="26">
        <v>0.7</v>
      </c>
    </row>
    <row r="230" spans="1:14" x14ac:dyDescent="0.25">
      <c r="A230" t="s">
        <v>133</v>
      </c>
      <c r="B230">
        <v>1.7118578999999998E-2</v>
      </c>
      <c r="C230" s="26">
        <v>0.7</v>
      </c>
      <c r="D230">
        <v>0.22677245500000001</v>
      </c>
      <c r="E230">
        <v>1.145</v>
      </c>
      <c r="F230" s="22">
        <v>0.712036</v>
      </c>
      <c r="G230">
        <v>2.9935699999999999E-2</v>
      </c>
      <c r="H230">
        <v>-13.6365</v>
      </c>
      <c r="K230">
        <f t="shared" si="9"/>
        <v>7.1602506079889618</v>
      </c>
      <c r="L230" s="22">
        <f t="shared" si="10"/>
        <v>5.0983562019100287E-2</v>
      </c>
      <c r="M230">
        <f t="shared" si="11"/>
        <v>0.15295068605730086</v>
      </c>
      <c r="N230" s="26">
        <v>0.7</v>
      </c>
    </row>
    <row r="231" spans="1:14" x14ac:dyDescent="0.25">
      <c r="A231" t="s">
        <v>134</v>
      </c>
      <c r="B231">
        <v>1.7118578999999998E-2</v>
      </c>
      <c r="C231" s="26">
        <v>0.7</v>
      </c>
      <c r="D231">
        <v>0.26456786399999999</v>
      </c>
      <c r="E231">
        <v>1.145</v>
      </c>
      <c r="F231" s="22">
        <v>0.71147700000000003</v>
      </c>
      <c r="G231">
        <v>4.0759299999999998E-2</v>
      </c>
      <c r="H231">
        <v>-15.9092</v>
      </c>
      <c r="K231">
        <f t="shared" si="9"/>
        <v>7.1682931715363027</v>
      </c>
      <c r="L231" s="22">
        <f t="shared" si="10"/>
        <v>5.1000757208051341E-2</v>
      </c>
      <c r="M231">
        <f t="shared" si="11"/>
        <v>0.15300227162415403</v>
      </c>
      <c r="N231" s="26">
        <v>0.7</v>
      </c>
    </row>
    <row r="232" spans="1:14" x14ac:dyDescent="0.25">
      <c r="A232" t="s">
        <v>135</v>
      </c>
      <c r="B232">
        <v>1.7118578999999998E-2</v>
      </c>
      <c r="C232" s="26">
        <v>0.7</v>
      </c>
      <c r="D232">
        <v>0.30236327299999999</v>
      </c>
      <c r="E232">
        <v>1.145</v>
      </c>
      <c r="F232" s="22">
        <v>0.71102500000000002</v>
      </c>
      <c r="G232">
        <v>5.3248299999999998E-2</v>
      </c>
      <c r="H232">
        <v>-18.181999999999999</v>
      </c>
      <c r="K232">
        <f t="shared" si="9"/>
        <v>7.1743764264937377</v>
      </c>
      <c r="L232" s="22">
        <f t="shared" si="10"/>
        <v>5.1011609986477101E-2</v>
      </c>
      <c r="M232">
        <f t="shared" si="11"/>
        <v>0.1530348299594313</v>
      </c>
      <c r="N232" s="26">
        <v>0.7</v>
      </c>
    </row>
    <row r="233" spans="1:14" x14ac:dyDescent="0.25">
      <c r="A233" t="s">
        <v>136</v>
      </c>
      <c r="B233">
        <v>1.7118578999999998E-2</v>
      </c>
      <c r="C233" s="26">
        <v>0.7</v>
      </c>
      <c r="D233">
        <v>0.34015868199999999</v>
      </c>
      <c r="E233">
        <v>1.145</v>
      </c>
      <c r="F233" s="22">
        <v>0.71070599999999995</v>
      </c>
      <c r="G233">
        <v>6.7408599999999999E-2</v>
      </c>
      <c r="H233">
        <v>-20.454799999999999</v>
      </c>
      <c r="K233">
        <f t="shared" si="9"/>
        <v>7.1792890804578802</v>
      </c>
      <c r="L233" s="22">
        <f t="shared" si="10"/>
        <v>5.1023638252158977E-2</v>
      </c>
      <c r="M233">
        <f t="shared" si="11"/>
        <v>0.15307091475647694</v>
      </c>
      <c r="N233" s="26">
        <v>0.7</v>
      </c>
    </row>
    <row r="234" spans="1:14" x14ac:dyDescent="0.25">
      <c r="A234" t="s">
        <v>137</v>
      </c>
      <c r="B234">
        <v>1.7118578999999998E-2</v>
      </c>
      <c r="C234" s="26">
        <v>0.7</v>
      </c>
      <c r="D234">
        <v>0.37795409099999999</v>
      </c>
      <c r="E234">
        <v>1.145</v>
      </c>
      <c r="F234" s="22">
        <v>0.71052099999999996</v>
      </c>
      <c r="G234">
        <v>8.3242099999999999E-2</v>
      </c>
      <c r="H234">
        <v>-22.727599999999999</v>
      </c>
      <c r="K234">
        <f t="shared" si="9"/>
        <v>7.1829946881713518</v>
      </c>
      <c r="L234" s="22">
        <f t="shared" si="10"/>
        <v>5.1036685688341965E-2</v>
      </c>
      <c r="M234">
        <f t="shared" si="11"/>
        <v>0.1531100570650259</v>
      </c>
      <c r="N234" s="26">
        <v>0.7</v>
      </c>
    </row>
    <row r="235" spans="1:14" x14ac:dyDescent="0.25">
      <c r="A235" t="s">
        <v>138</v>
      </c>
      <c r="B235">
        <v>1.7118578999999998E-2</v>
      </c>
      <c r="C235" s="26">
        <v>0.7</v>
      </c>
      <c r="D235">
        <v>0.41574949999999999</v>
      </c>
      <c r="E235">
        <v>1.145</v>
      </c>
      <c r="F235" s="22">
        <v>0.710426</v>
      </c>
      <c r="G235">
        <v>0.100745</v>
      </c>
      <c r="H235">
        <v>-25.000299999999999</v>
      </c>
      <c r="K235">
        <f t="shared" si="9"/>
        <v>7.1855630413436167</v>
      </c>
      <c r="L235" s="22">
        <f t="shared" si="10"/>
        <v>5.1048108092095805E-2</v>
      </c>
      <c r="M235">
        <f t="shared" si="11"/>
        <v>0.15314432427628741</v>
      </c>
      <c r="N235" s="26">
        <v>0.7</v>
      </c>
    </row>
    <row r="236" spans="1:14" x14ac:dyDescent="0.25">
      <c r="A236" t="s">
        <v>139</v>
      </c>
      <c r="B236">
        <v>1.9400752E-2</v>
      </c>
      <c r="C236" s="26">
        <v>0.8</v>
      </c>
      <c r="D236">
        <v>0.93302176000000003</v>
      </c>
      <c r="E236">
        <v>1.1679999999999999</v>
      </c>
      <c r="F236" s="18">
        <v>0.73614199999999996</v>
      </c>
      <c r="G236">
        <v>0.57791000000000003</v>
      </c>
      <c r="H236">
        <v>-55.000900000000001</v>
      </c>
      <c r="K236">
        <f t="shared" si="9"/>
        <v>8.0569052215515224</v>
      </c>
      <c r="L236" s="18">
        <f t="shared" si="10"/>
        <v>5.9310263236033799E-2</v>
      </c>
      <c r="M236">
        <f t="shared" si="11"/>
        <v>0.17793078970810139</v>
      </c>
      <c r="N236" s="26">
        <v>0.8</v>
      </c>
    </row>
    <row r="237" spans="1:14" x14ac:dyDescent="0.25">
      <c r="A237" t="s">
        <v>140</v>
      </c>
      <c r="B237">
        <v>1.9400752E-2</v>
      </c>
      <c r="C237" s="26">
        <v>0.8</v>
      </c>
      <c r="D237">
        <v>1.074388693</v>
      </c>
      <c r="E237">
        <v>1.1679999999999999</v>
      </c>
      <c r="F237" s="18">
        <v>0.73651599999999995</v>
      </c>
      <c r="G237">
        <v>0.76660099999999998</v>
      </c>
      <c r="H237">
        <v>-63.334400000000002</v>
      </c>
      <c r="K237">
        <f t="shared" si="9"/>
        <v>8.055956428765894</v>
      </c>
      <c r="L237" s="18">
        <f t="shared" si="10"/>
        <v>5.9333408050889408E-2</v>
      </c>
      <c r="M237">
        <f t="shared" si="11"/>
        <v>0.17800022415266822</v>
      </c>
      <c r="N237" s="26">
        <v>0.8</v>
      </c>
    </row>
    <row r="238" spans="1:14" x14ac:dyDescent="0.25">
      <c r="A238" t="s">
        <v>141</v>
      </c>
      <c r="B238">
        <v>1.9400752E-2</v>
      </c>
      <c r="C238" s="26">
        <v>0.8</v>
      </c>
      <c r="D238">
        <v>1.2157556270000001</v>
      </c>
      <c r="E238">
        <v>1.1679999999999999</v>
      </c>
      <c r="F238" s="18">
        <v>0.73685599999999996</v>
      </c>
      <c r="G238">
        <v>0.981908</v>
      </c>
      <c r="H238">
        <v>-71.6678</v>
      </c>
      <c r="K238">
        <f t="shared" si="9"/>
        <v>8.0546980109114816</v>
      </c>
      <c r="L238" s="18">
        <f t="shared" si="10"/>
        <v>5.9351525575281901E-2</v>
      </c>
      <c r="M238">
        <f t="shared" si="11"/>
        <v>0.17805457672584571</v>
      </c>
      <c r="N238" s="26">
        <v>0.8</v>
      </c>
    </row>
    <row r="239" spans="1:14" x14ac:dyDescent="0.25">
      <c r="A239" t="s">
        <v>142</v>
      </c>
      <c r="B239">
        <v>1.9400752E-2</v>
      </c>
      <c r="C239" s="26">
        <v>0.8</v>
      </c>
      <c r="D239">
        <v>1.3571225600000001</v>
      </c>
      <c r="E239">
        <v>1.1679999999999999</v>
      </c>
      <c r="F239" s="18">
        <v>0.73715200000000003</v>
      </c>
      <c r="G239">
        <v>1.2238500000000001</v>
      </c>
      <c r="H239">
        <v>-80.001300000000001</v>
      </c>
      <c r="K239">
        <f t="shared" si="9"/>
        <v>8.0535301673976551</v>
      </c>
      <c r="L239" s="18">
        <f t="shared" si="10"/>
        <v>5.936675869957516E-2</v>
      </c>
      <c r="M239">
        <f t="shared" si="11"/>
        <v>0.17810027609872547</v>
      </c>
      <c r="N239" s="26">
        <v>0.8</v>
      </c>
    </row>
    <row r="240" spans="1:14" x14ac:dyDescent="0.25">
      <c r="A240" t="s">
        <v>143</v>
      </c>
      <c r="B240">
        <v>1.9400752E-2</v>
      </c>
      <c r="C240" s="26">
        <v>0.8</v>
      </c>
      <c r="D240">
        <v>0.75945996000000004</v>
      </c>
      <c r="E240">
        <v>1.1619999999999999</v>
      </c>
      <c r="F240" s="20">
        <v>0.735676</v>
      </c>
      <c r="G240">
        <v>0.384716</v>
      </c>
      <c r="H240">
        <v>-45.000700000000002</v>
      </c>
      <c r="K240">
        <f t="shared" si="9"/>
        <v>8.058627295622161</v>
      </c>
      <c r="L240" s="20">
        <f t="shared" si="10"/>
        <v>5.9285386943341289E-2</v>
      </c>
      <c r="M240">
        <f t="shared" si="11"/>
        <v>0.17785616083002387</v>
      </c>
      <c r="N240" s="26">
        <v>0.8</v>
      </c>
    </row>
    <row r="241" spans="1:14" x14ac:dyDescent="0.25">
      <c r="A241" t="s">
        <v>144</v>
      </c>
      <c r="B241">
        <v>1.9400752E-2</v>
      </c>
      <c r="C241" s="26">
        <v>0.8</v>
      </c>
      <c r="D241">
        <v>0.87197254700000004</v>
      </c>
      <c r="E241">
        <v>1.1619999999999999</v>
      </c>
      <c r="F241" s="20">
        <v>0.73595699999999997</v>
      </c>
      <c r="G241">
        <v>0.50727800000000001</v>
      </c>
      <c r="H241">
        <v>-51.667499999999997</v>
      </c>
      <c r="K241">
        <f t="shared" si="9"/>
        <v>8.0575802614957706</v>
      </c>
      <c r="L241" s="20">
        <f t="shared" si="10"/>
        <v>5.9300325965096434E-2</v>
      </c>
      <c r="M241">
        <f t="shared" si="11"/>
        <v>0.1779009778952893</v>
      </c>
      <c r="N241" s="26">
        <v>0.8</v>
      </c>
    </row>
    <row r="242" spans="1:14" x14ac:dyDescent="0.25">
      <c r="A242" t="s">
        <v>145</v>
      </c>
      <c r="B242">
        <v>1.9400752E-2</v>
      </c>
      <c r="C242" s="26">
        <v>0.8</v>
      </c>
      <c r="D242">
        <v>0.98448513299999996</v>
      </c>
      <c r="E242">
        <v>1.1619999999999999</v>
      </c>
      <c r="F242" s="20">
        <v>0.736294</v>
      </c>
      <c r="G242">
        <v>0.64683100000000004</v>
      </c>
      <c r="H242">
        <v>-58.334299999999999</v>
      </c>
      <c r="K242">
        <f t="shared" si="9"/>
        <v>8.0563352750990589</v>
      </c>
      <c r="L242" s="20">
        <f t="shared" si="10"/>
        <v>5.9318313250437862E-2</v>
      </c>
      <c r="M242">
        <f t="shared" si="11"/>
        <v>0.1779549397513136</v>
      </c>
      <c r="N242" s="26">
        <v>0.8</v>
      </c>
    </row>
    <row r="243" spans="1:14" x14ac:dyDescent="0.25">
      <c r="A243" t="s">
        <v>146</v>
      </c>
      <c r="B243">
        <v>1.9400752E-2</v>
      </c>
      <c r="C243" s="26">
        <v>0.8</v>
      </c>
      <c r="D243">
        <v>1.0969977200000001</v>
      </c>
      <c r="E243">
        <v>1.1619999999999999</v>
      </c>
      <c r="F243" s="20">
        <v>0.73657399999999995</v>
      </c>
      <c r="G243">
        <v>0.803373</v>
      </c>
      <c r="H243">
        <v>-65.001099999999994</v>
      </c>
      <c r="K243">
        <f t="shared" si="9"/>
        <v>8.0557389367967005</v>
      </c>
      <c r="L243" s="20">
        <f t="shared" si="10"/>
        <v>5.9336478516320915E-2</v>
      </c>
      <c r="M243">
        <f t="shared" si="11"/>
        <v>0.17800943554896276</v>
      </c>
      <c r="N243" s="26">
        <v>0.8</v>
      </c>
    </row>
    <row r="244" spans="1:14" x14ac:dyDescent="0.25">
      <c r="A244" t="s">
        <v>147</v>
      </c>
      <c r="B244">
        <v>1.9400752E-2</v>
      </c>
      <c r="C244" s="26">
        <v>0.8</v>
      </c>
      <c r="D244">
        <v>0.58764103999999995</v>
      </c>
      <c r="E244">
        <v>1.1559999999999999</v>
      </c>
      <c r="F244" s="21">
        <v>0.73521700000000001</v>
      </c>
      <c r="G244">
        <v>0.23141800000000001</v>
      </c>
      <c r="H244">
        <v>-35.000500000000002</v>
      </c>
      <c r="K244">
        <f t="shared" si="9"/>
        <v>8.0598570911499472</v>
      </c>
      <c r="L244" s="21">
        <f t="shared" si="10"/>
        <v>5.9257439509839901E-2</v>
      </c>
      <c r="M244">
        <f t="shared" si="11"/>
        <v>0.17777231852951969</v>
      </c>
      <c r="N244" s="26">
        <v>0.8</v>
      </c>
    </row>
    <row r="245" spans="1:14" x14ac:dyDescent="0.25">
      <c r="A245" t="s">
        <v>148</v>
      </c>
      <c r="B245">
        <v>1.9400752E-2</v>
      </c>
      <c r="C245" s="26">
        <v>0.8</v>
      </c>
      <c r="D245">
        <v>0.65480001600000004</v>
      </c>
      <c r="E245">
        <v>1.1559999999999999</v>
      </c>
      <c r="F245" s="21">
        <v>0.735402</v>
      </c>
      <c r="G245">
        <v>0.28739700000000001</v>
      </c>
      <c r="H245">
        <v>-39.000599999999999</v>
      </c>
      <c r="K245">
        <f t="shared" si="9"/>
        <v>8.0595183769184615</v>
      </c>
      <c r="L245" s="21">
        <f t="shared" si="10"/>
        <v>5.9269859334225912E-2</v>
      </c>
      <c r="M245">
        <f t="shared" si="11"/>
        <v>0.17780957800267774</v>
      </c>
      <c r="N245" s="26">
        <v>0.8</v>
      </c>
    </row>
    <row r="246" spans="1:14" x14ac:dyDescent="0.25">
      <c r="A246" t="s">
        <v>149</v>
      </c>
      <c r="B246">
        <v>1.9400752E-2</v>
      </c>
      <c r="C246" s="26">
        <v>0.8</v>
      </c>
      <c r="D246">
        <v>0.72195899200000002</v>
      </c>
      <c r="E246">
        <v>1.1559999999999999</v>
      </c>
      <c r="F246" s="21">
        <v>0.73558199999999996</v>
      </c>
      <c r="G246">
        <v>0.349439</v>
      </c>
      <c r="H246">
        <v>-43.000599999999999</v>
      </c>
      <c r="K246">
        <f t="shared" si="9"/>
        <v>8.059080476169953</v>
      </c>
      <c r="L246" s="21">
        <f t="shared" si="10"/>
        <v>5.9281145348220467E-2</v>
      </c>
      <c r="M246">
        <f t="shared" si="11"/>
        <v>0.17784343604466141</v>
      </c>
      <c r="N246" s="26">
        <v>0.8</v>
      </c>
    </row>
    <row r="247" spans="1:14" x14ac:dyDescent="0.25">
      <c r="A247" t="s">
        <v>150</v>
      </c>
      <c r="B247">
        <v>1.9400752E-2</v>
      </c>
      <c r="C247" s="26">
        <v>0.8</v>
      </c>
      <c r="D247">
        <v>0.789117968</v>
      </c>
      <c r="E247">
        <v>1.1559999999999999</v>
      </c>
      <c r="F247" s="21">
        <v>0.73574600000000001</v>
      </c>
      <c r="G247">
        <v>0.41754200000000002</v>
      </c>
      <c r="H247">
        <v>-47.000700000000002</v>
      </c>
      <c r="K247">
        <f t="shared" si="9"/>
        <v>8.0585675039812017</v>
      </c>
      <c r="L247" s="21">
        <f t="shared" si="10"/>
        <v>5.9290588067841543E-2</v>
      </c>
      <c r="M247">
        <f t="shared" si="11"/>
        <v>0.17787176420352463</v>
      </c>
      <c r="N247" s="26">
        <v>0.8</v>
      </c>
    </row>
    <row r="248" spans="1:14" x14ac:dyDescent="0.25">
      <c r="A248" t="s">
        <v>151</v>
      </c>
      <c r="B248">
        <v>1.9400752E-2</v>
      </c>
      <c r="C248" s="26">
        <v>0.8</v>
      </c>
      <c r="D248">
        <v>0.85627694399999998</v>
      </c>
      <c r="E248">
        <v>1.1559999999999999</v>
      </c>
      <c r="F248" s="21">
        <v>0.73591300000000004</v>
      </c>
      <c r="G248">
        <v>0.49170700000000001</v>
      </c>
      <c r="H248">
        <v>-51.000799999999998</v>
      </c>
      <c r="K248">
        <f t="shared" si="9"/>
        <v>8.0578686190482092</v>
      </c>
      <c r="L248" s="21">
        <f t="shared" si="10"/>
        <v>5.9298902690496251E-2</v>
      </c>
      <c r="M248">
        <f t="shared" si="11"/>
        <v>0.17789670807148875</v>
      </c>
      <c r="N248" s="26">
        <v>0.8</v>
      </c>
    </row>
    <row r="249" spans="1:14" x14ac:dyDescent="0.25">
      <c r="A249" t="s">
        <v>152</v>
      </c>
      <c r="B249">
        <v>1.9400752E-2</v>
      </c>
      <c r="C249" s="26">
        <v>0.8</v>
      </c>
      <c r="D249">
        <v>0.92343591999999997</v>
      </c>
      <c r="E249">
        <v>1.1559999999999999</v>
      </c>
      <c r="F249" s="21">
        <v>0.73611300000000002</v>
      </c>
      <c r="G249">
        <v>0.57196000000000002</v>
      </c>
      <c r="H249">
        <v>-55.000900000000001</v>
      </c>
      <c r="K249">
        <f t="shared" si="9"/>
        <v>8.0570455834409742</v>
      </c>
      <c r="L249" s="21">
        <f t="shared" si="10"/>
        <v>5.930895995563485E-2</v>
      </c>
      <c r="M249">
        <f t="shared" si="11"/>
        <v>0.17792687986690456</v>
      </c>
      <c r="N249" s="26">
        <v>0.8</v>
      </c>
    </row>
    <row r="250" spans="1:14" x14ac:dyDescent="0.25">
      <c r="A250" t="s">
        <v>153</v>
      </c>
      <c r="B250">
        <v>1.9400752E-2</v>
      </c>
      <c r="C250" s="26">
        <v>0.8</v>
      </c>
      <c r="D250">
        <v>0.25053900000000001</v>
      </c>
      <c r="E250">
        <v>1.1499999999999999</v>
      </c>
      <c r="F250" s="25">
        <v>0.73684799999999995</v>
      </c>
      <c r="G250">
        <v>4.22808E-2</v>
      </c>
      <c r="H250">
        <v>-15.0001</v>
      </c>
      <c r="K250">
        <f t="shared" si="9"/>
        <v>8.0413916566727082</v>
      </c>
      <c r="L250" s="25">
        <f t="shared" si="10"/>
        <v>5.9252833594359712E-2</v>
      </c>
      <c r="M250">
        <f t="shared" si="11"/>
        <v>0.17775850078307914</v>
      </c>
      <c r="N250" s="26">
        <v>0.8</v>
      </c>
    </row>
    <row r="251" spans="1:14" x14ac:dyDescent="0.25">
      <c r="A251" t="s">
        <v>154</v>
      </c>
      <c r="B251">
        <v>1.9400752E-2</v>
      </c>
      <c r="C251" s="26">
        <v>0.8</v>
      </c>
      <c r="D251">
        <v>0.322121571</v>
      </c>
      <c r="E251">
        <v>1.1499999999999999</v>
      </c>
      <c r="F251" s="25">
        <v>0.73577899999999996</v>
      </c>
      <c r="G251">
        <v>6.9881299999999993E-2</v>
      </c>
      <c r="H251">
        <v>-19.285900000000002</v>
      </c>
      <c r="K251">
        <f t="shared" si="9"/>
        <v>8.0517077437513702</v>
      </c>
      <c r="L251" s="25">
        <f t="shared" si="10"/>
        <v>5.9242774719896384E-2</v>
      </c>
      <c r="M251">
        <f t="shared" si="11"/>
        <v>0.17772832415968914</v>
      </c>
      <c r="N251" s="26">
        <v>0.8</v>
      </c>
    </row>
    <row r="252" spans="1:14" x14ac:dyDescent="0.25">
      <c r="A252" t="s">
        <v>155</v>
      </c>
      <c r="B252">
        <v>1.9400752E-2</v>
      </c>
      <c r="C252" s="26">
        <v>0.8</v>
      </c>
      <c r="D252">
        <v>0.39370414300000001</v>
      </c>
      <c r="E252">
        <v>1.1499999999999999</v>
      </c>
      <c r="F252" s="25">
        <v>0.73522799999999999</v>
      </c>
      <c r="G252">
        <v>0.10438</v>
      </c>
      <c r="H252">
        <v>-23.5717</v>
      </c>
      <c r="K252">
        <f t="shared" si="9"/>
        <v>8.0568945732307746</v>
      </c>
      <c r="L252" s="25">
        <f t="shared" si="10"/>
        <v>5.9236544832873154E-2</v>
      </c>
      <c r="M252">
        <f t="shared" si="11"/>
        <v>0.17770963449861946</v>
      </c>
      <c r="N252" s="26">
        <v>0.8</v>
      </c>
    </row>
    <row r="253" spans="1:14" x14ac:dyDescent="0.25">
      <c r="A253" t="s">
        <v>156</v>
      </c>
      <c r="B253">
        <v>1.9400752E-2</v>
      </c>
      <c r="C253" s="26">
        <v>0.8</v>
      </c>
      <c r="D253">
        <v>0.46528671399999999</v>
      </c>
      <c r="E253">
        <v>1.1499999999999999</v>
      </c>
      <c r="F253" s="25">
        <v>0.73508099999999998</v>
      </c>
      <c r="G253">
        <v>0.14580000000000001</v>
      </c>
      <c r="H253">
        <v>-27.857500000000002</v>
      </c>
      <c r="K253">
        <f t="shared" si="9"/>
        <v>8.059206519059595</v>
      </c>
      <c r="L253" s="25">
        <f t="shared" si="10"/>
        <v>5.9241695872368459E-2</v>
      </c>
      <c r="M253">
        <f t="shared" si="11"/>
        <v>0.17772508761710537</v>
      </c>
      <c r="N253" s="26">
        <v>0.8</v>
      </c>
    </row>
    <row r="254" spans="1:14" x14ac:dyDescent="0.25">
      <c r="A254" t="s">
        <v>157</v>
      </c>
      <c r="B254">
        <v>1.9400752E-2</v>
      </c>
      <c r="C254" s="26">
        <v>0.8</v>
      </c>
      <c r="D254">
        <v>0.53686928599999995</v>
      </c>
      <c r="E254">
        <v>1.1499999999999999</v>
      </c>
      <c r="F254" s="25">
        <v>0.73512299999999997</v>
      </c>
      <c r="G254">
        <v>0.19414100000000001</v>
      </c>
      <c r="H254">
        <v>-32.143300000000004</v>
      </c>
      <c r="K254">
        <f t="shared" si="9"/>
        <v>8.0599169122356695</v>
      </c>
      <c r="L254" s="25">
        <f t="shared" si="10"/>
        <v>5.925030300273422E-2</v>
      </c>
      <c r="M254">
        <f t="shared" si="11"/>
        <v>0.17775090900820267</v>
      </c>
      <c r="N254" s="26">
        <v>0.8</v>
      </c>
    </row>
    <row r="255" spans="1:14" x14ac:dyDescent="0.25">
      <c r="A255" t="s">
        <v>158</v>
      </c>
      <c r="B255">
        <v>1.9400752E-2</v>
      </c>
      <c r="C255" s="26">
        <v>0.8</v>
      </c>
      <c r="D255">
        <v>0.60845185700000004</v>
      </c>
      <c r="E255">
        <v>1.1499999999999999</v>
      </c>
      <c r="F255" s="25">
        <v>0.73527200000000004</v>
      </c>
      <c r="G255">
        <v>0.24940999999999999</v>
      </c>
      <c r="H255">
        <v>-36.429099999999998</v>
      </c>
      <c r="K255">
        <f t="shared" si="9"/>
        <v>8.0597799988609236</v>
      </c>
      <c r="L255" s="25">
        <f t="shared" si="10"/>
        <v>5.9261305593224692E-2</v>
      </c>
      <c r="M255">
        <f t="shared" si="11"/>
        <v>0.17778391677967409</v>
      </c>
      <c r="N255" s="26">
        <v>0.8</v>
      </c>
    </row>
    <row r="256" spans="1:14" x14ac:dyDescent="0.25">
      <c r="A256" t="s">
        <v>159</v>
      </c>
      <c r="B256">
        <v>1.9400752E-2</v>
      </c>
      <c r="C256" s="26">
        <v>0.8</v>
      </c>
      <c r="D256">
        <v>0.680034429</v>
      </c>
      <c r="E256">
        <v>1.1499999999999999</v>
      </c>
      <c r="F256" s="25">
        <v>0.73547099999999999</v>
      </c>
      <c r="G256">
        <v>0.31160599999999999</v>
      </c>
      <c r="H256">
        <v>-40.7149</v>
      </c>
      <c r="K256">
        <f t="shared" si="9"/>
        <v>8.059122372123289</v>
      </c>
      <c r="L256" s="25">
        <f t="shared" si="10"/>
        <v>5.927250790147888E-2</v>
      </c>
      <c r="M256">
        <f t="shared" si="11"/>
        <v>0.17781752370443665</v>
      </c>
      <c r="N256" s="26">
        <v>0.8</v>
      </c>
    </row>
    <row r="257" spans="1:14" x14ac:dyDescent="0.25">
      <c r="A257" t="s">
        <v>160</v>
      </c>
      <c r="B257">
        <v>1.9400752E-2</v>
      </c>
      <c r="C257" s="26">
        <v>0.8</v>
      </c>
      <c r="D257">
        <v>0.75161699999999998</v>
      </c>
      <c r="E257">
        <v>1.1499999999999999</v>
      </c>
      <c r="F257" s="25">
        <v>0.73565700000000001</v>
      </c>
      <c r="G257">
        <v>0.38073499999999999</v>
      </c>
      <c r="H257">
        <v>-45.000700000000002</v>
      </c>
      <c r="K257">
        <f t="shared" si="9"/>
        <v>8.0586654799186981</v>
      </c>
      <c r="L257" s="25">
        <f t="shared" si="10"/>
        <v>5.9284136709605507E-2</v>
      </c>
      <c r="M257">
        <f t="shared" si="11"/>
        <v>0.17785241012881653</v>
      </c>
      <c r="N257" s="26">
        <v>0.8</v>
      </c>
    </row>
    <row r="258" spans="1:14" x14ac:dyDescent="0.25">
      <c r="A258" t="s">
        <v>161</v>
      </c>
      <c r="B258">
        <v>1.9400752E-2</v>
      </c>
      <c r="C258" s="26">
        <v>0.8</v>
      </c>
      <c r="D258">
        <v>3.7795409000000002E-2</v>
      </c>
      <c r="E258">
        <v>1.145</v>
      </c>
      <c r="F258" s="22">
        <v>0.74127100000000001</v>
      </c>
      <c r="G258">
        <v>9.5636600000000005E-4</v>
      </c>
      <c r="H258">
        <v>-2.2726500000000001</v>
      </c>
      <c r="K258">
        <f t="shared" si="9"/>
        <v>7.9109491667295595</v>
      </c>
      <c r="L258" s="22">
        <f t="shared" si="10"/>
        <v>5.8641571997707878E-2</v>
      </c>
      <c r="M258">
        <f t="shared" si="11"/>
        <v>0.17592471599312365</v>
      </c>
      <c r="N258" s="26">
        <v>0.8</v>
      </c>
    </row>
    <row r="259" spans="1:14" x14ac:dyDescent="0.25">
      <c r="A259" t="s">
        <v>162</v>
      </c>
      <c r="B259">
        <v>1.9400752E-2</v>
      </c>
      <c r="C259" s="26">
        <v>0.8</v>
      </c>
      <c r="D259">
        <v>7.5590818000000004E-2</v>
      </c>
      <c r="E259">
        <v>1.145</v>
      </c>
      <c r="F259" s="22">
        <v>0.74391300000000005</v>
      </c>
      <c r="G259">
        <v>3.84994E-3</v>
      </c>
      <c r="H259">
        <v>-4.5453999999999999</v>
      </c>
      <c r="K259">
        <f t="shared" si="9"/>
        <v>7.9329403410184058</v>
      </c>
      <c r="L259" s="22">
        <f t="shared" si="10"/>
        <v>5.9014174479080257E-2</v>
      </c>
      <c r="M259">
        <f t="shared" si="11"/>
        <v>0.17704252343724078</v>
      </c>
      <c r="N259" s="26">
        <v>0.8</v>
      </c>
    </row>
    <row r="260" spans="1:14" x14ac:dyDescent="0.25">
      <c r="A260" t="s">
        <v>163</v>
      </c>
      <c r="B260">
        <v>1.9400752E-2</v>
      </c>
      <c r="C260" s="26">
        <v>0.8</v>
      </c>
      <c r="D260">
        <v>0.11338622700000001</v>
      </c>
      <c r="E260">
        <v>1.145</v>
      </c>
      <c r="F260" s="22">
        <v>0.74062300000000003</v>
      </c>
      <c r="G260">
        <v>8.6786399999999996E-3</v>
      </c>
      <c r="H260">
        <v>-6.8181599999999998</v>
      </c>
      <c r="K260">
        <f t="shared" si="9"/>
        <v>7.9830103471083786</v>
      </c>
      <c r="L260" s="22">
        <f t="shared" si="10"/>
        <v>5.9124010723064488E-2</v>
      </c>
      <c r="M260">
        <f t="shared" si="11"/>
        <v>0.17737203216919345</v>
      </c>
      <c r="N260" s="26">
        <v>0.8</v>
      </c>
    </row>
    <row r="261" spans="1:14" x14ac:dyDescent="0.25">
      <c r="A261" t="s">
        <v>164</v>
      </c>
      <c r="B261">
        <v>1.9400752E-2</v>
      </c>
      <c r="C261" s="26">
        <v>0.8</v>
      </c>
      <c r="D261">
        <v>0.15118163600000001</v>
      </c>
      <c r="E261">
        <v>1.145</v>
      </c>
      <c r="F261" s="22">
        <v>0.73913700000000004</v>
      </c>
      <c r="G261">
        <v>1.54491E-2</v>
      </c>
      <c r="H261">
        <v>-9.0909200000000006</v>
      </c>
      <c r="K261">
        <f t="shared" si="9"/>
        <v>8.0095692348998515</v>
      </c>
      <c r="L261" s="22">
        <f t="shared" si="10"/>
        <v>5.9201689755761719E-2</v>
      </c>
      <c r="M261">
        <f t="shared" si="11"/>
        <v>0.17760506926728514</v>
      </c>
      <c r="N261" s="26">
        <v>0.8</v>
      </c>
    </row>
    <row r="262" spans="1:14" x14ac:dyDescent="0.25">
      <c r="A262" t="s">
        <v>165</v>
      </c>
      <c r="B262">
        <v>1.9400752E-2</v>
      </c>
      <c r="C262" s="26">
        <v>0.8</v>
      </c>
      <c r="D262">
        <v>0.18897704500000001</v>
      </c>
      <c r="E262">
        <v>1.145</v>
      </c>
      <c r="F262" s="22">
        <v>0.73809000000000002</v>
      </c>
      <c r="G262">
        <v>2.4154999999999999E-2</v>
      </c>
      <c r="H262">
        <v>-11.3637</v>
      </c>
      <c r="K262">
        <f t="shared" ref="K262:K325" si="12">(L262/F262)*100</f>
        <v>8.0261041508764155</v>
      </c>
      <c r="L262" s="22">
        <f t="shared" ref="L262:L325" si="13">G262/($D$3*((E262*H262^2)/2))</f>
        <v>5.923987212720374E-2</v>
      </c>
      <c r="M262">
        <f t="shared" ref="M262:M325" si="14">L262*3</f>
        <v>0.17771961638161121</v>
      </c>
      <c r="N262" s="26">
        <v>0.8</v>
      </c>
    </row>
    <row r="263" spans="1:14" x14ac:dyDescent="0.25">
      <c r="A263" t="s">
        <v>166</v>
      </c>
      <c r="B263">
        <v>1.9400752E-2</v>
      </c>
      <c r="C263" s="26">
        <v>0.8</v>
      </c>
      <c r="D263">
        <v>0.22677245500000001</v>
      </c>
      <c r="E263">
        <v>1.145</v>
      </c>
      <c r="F263" s="22">
        <v>0.73727699999999996</v>
      </c>
      <c r="G263">
        <v>3.4790000000000001E-2</v>
      </c>
      <c r="H263">
        <v>-13.6365</v>
      </c>
      <c r="K263">
        <f t="shared" si="12"/>
        <v>8.0364546729243056</v>
      </c>
      <c r="L263" s="22">
        <f t="shared" si="13"/>
        <v>5.9250931918896139E-2</v>
      </c>
      <c r="M263">
        <f t="shared" si="14"/>
        <v>0.17775279575668843</v>
      </c>
      <c r="N263" s="26">
        <v>0.8</v>
      </c>
    </row>
    <row r="264" spans="1:14" x14ac:dyDescent="0.25">
      <c r="A264" t="s">
        <v>167</v>
      </c>
      <c r="B264">
        <v>1.9400752E-2</v>
      </c>
      <c r="C264" s="26">
        <v>0.8</v>
      </c>
      <c r="D264">
        <v>0.26456786399999999</v>
      </c>
      <c r="E264">
        <v>1.145</v>
      </c>
      <c r="F264" s="22">
        <v>0.73660000000000003</v>
      </c>
      <c r="G264">
        <v>4.7352900000000003E-2</v>
      </c>
      <c r="H264">
        <v>-15.9092</v>
      </c>
      <c r="K264">
        <f t="shared" si="12"/>
        <v>8.0438650162721856</v>
      </c>
      <c r="L264" s="22">
        <f t="shared" si="13"/>
        <v>5.925110970986093E-2</v>
      </c>
      <c r="M264">
        <f t="shared" si="14"/>
        <v>0.1777533291295828</v>
      </c>
      <c r="N264" s="26">
        <v>0.8</v>
      </c>
    </row>
    <row r="265" spans="1:14" x14ac:dyDescent="0.25">
      <c r="A265" t="s">
        <v>168</v>
      </c>
      <c r="B265">
        <v>1.9400752E-2</v>
      </c>
      <c r="C265" s="26">
        <v>0.8</v>
      </c>
      <c r="D265">
        <v>0.30236327299999999</v>
      </c>
      <c r="E265">
        <v>1.145</v>
      </c>
      <c r="F265" s="22">
        <v>0.73601399999999995</v>
      </c>
      <c r="G265">
        <v>6.1842300000000003E-2</v>
      </c>
      <c r="H265">
        <v>-18.181999999999999</v>
      </c>
      <c r="K265">
        <f t="shared" si="12"/>
        <v>8.049387619758269</v>
      </c>
      <c r="L265" s="22">
        <f t="shared" si="13"/>
        <v>5.9244619795687618E-2</v>
      </c>
      <c r="M265">
        <f t="shared" si="14"/>
        <v>0.17773385938706285</v>
      </c>
      <c r="N265" s="26">
        <v>0.8</v>
      </c>
    </row>
    <row r="266" spans="1:14" x14ac:dyDescent="0.25">
      <c r="A266" t="s">
        <v>169</v>
      </c>
      <c r="B266">
        <v>1.9400752E-2</v>
      </c>
      <c r="C266" s="26">
        <v>0.8</v>
      </c>
      <c r="D266">
        <v>0.34015868199999999</v>
      </c>
      <c r="E266">
        <v>1.145</v>
      </c>
      <c r="F266" s="22">
        <v>0.73558699999999999</v>
      </c>
      <c r="G266">
        <v>7.82635E-2</v>
      </c>
      <c r="H266">
        <v>-20.454799999999999</v>
      </c>
      <c r="K266">
        <f t="shared" si="12"/>
        <v>8.0534383046386999</v>
      </c>
      <c r="L266" s="22">
        <f t="shared" si="13"/>
        <v>5.9240045221942664E-2</v>
      </c>
      <c r="M266">
        <f t="shared" si="14"/>
        <v>0.17772013566582801</v>
      </c>
      <c r="N266" s="26">
        <v>0.8</v>
      </c>
    </row>
    <row r="267" spans="1:14" x14ac:dyDescent="0.25">
      <c r="A267" t="s">
        <v>170</v>
      </c>
      <c r="B267">
        <v>1.9400752E-2</v>
      </c>
      <c r="C267" s="26">
        <v>0.8</v>
      </c>
      <c r="D267">
        <v>0.37795409099999999</v>
      </c>
      <c r="E267">
        <v>1.145</v>
      </c>
      <c r="F267" s="22">
        <v>0.735294</v>
      </c>
      <c r="G267">
        <v>9.6615099999999995E-2</v>
      </c>
      <c r="H267">
        <v>-22.727499999999999</v>
      </c>
      <c r="K267">
        <f t="shared" si="12"/>
        <v>8.0561444197946095</v>
      </c>
      <c r="L267" s="22">
        <f t="shared" si="13"/>
        <v>5.9236346550084584E-2</v>
      </c>
      <c r="M267">
        <f t="shared" si="14"/>
        <v>0.17770903965025375</v>
      </c>
      <c r="N267" s="26">
        <v>0.8</v>
      </c>
    </row>
    <row r="268" spans="1:14" x14ac:dyDescent="0.25">
      <c r="A268" t="s">
        <v>171</v>
      </c>
      <c r="B268">
        <v>1.9400752E-2</v>
      </c>
      <c r="C268" s="26">
        <v>0.8</v>
      </c>
      <c r="D268">
        <v>0.41574949999999999</v>
      </c>
      <c r="E268">
        <v>1.145</v>
      </c>
      <c r="F268" s="22">
        <v>0.73515900000000001</v>
      </c>
      <c r="G268">
        <v>0.116906</v>
      </c>
      <c r="H268">
        <v>-25.000299999999999</v>
      </c>
      <c r="K268">
        <f t="shared" si="12"/>
        <v>8.0577107404875274</v>
      </c>
      <c r="L268" s="22">
        <f t="shared" si="13"/>
        <v>5.9236985702660692E-2</v>
      </c>
      <c r="M268">
        <f t="shared" si="14"/>
        <v>0.17771095710798207</v>
      </c>
      <c r="N268" s="26">
        <v>0.8</v>
      </c>
    </row>
    <row r="269" spans="1:14" x14ac:dyDescent="0.25">
      <c r="A269" t="s">
        <v>41</v>
      </c>
      <c r="B269">
        <v>2.1682926000000002E-2</v>
      </c>
      <c r="C269" s="26">
        <v>0.9</v>
      </c>
      <c r="D269">
        <v>0.93302176000000003</v>
      </c>
      <c r="E269">
        <v>1.1679999999999999</v>
      </c>
      <c r="F269" s="18">
        <v>0.75327200000000005</v>
      </c>
      <c r="G269">
        <v>0.66987200000000002</v>
      </c>
      <c r="H269">
        <v>-55.000900000000001</v>
      </c>
      <c r="K269">
        <f t="shared" si="12"/>
        <v>9.1266131548180685</v>
      </c>
      <c r="L269" s="18">
        <f t="shared" si="13"/>
        <v>6.8748221443561158E-2</v>
      </c>
      <c r="M269">
        <f t="shared" si="14"/>
        <v>0.20624466433068347</v>
      </c>
      <c r="N269" s="26">
        <v>0.9</v>
      </c>
    </row>
    <row r="270" spans="1:14" x14ac:dyDescent="0.25">
      <c r="A270" t="s">
        <v>172</v>
      </c>
      <c r="B270">
        <v>2.1682926000000002E-2</v>
      </c>
      <c r="C270" s="26">
        <v>0.9</v>
      </c>
      <c r="D270">
        <v>1.074388693</v>
      </c>
      <c r="E270">
        <v>1.1679999999999999</v>
      </c>
      <c r="F270" s="18">
        <v>0.75345600000000001</v>
      </c>
      <c r="G270">
        <v>0.88911499999999999</v>
      </c>
      <c r="H270">
        <v>-63.334400000000002</v>
      </c>
      <c r="K270">
        <f t="shared" si="12"/>
        <v>9.1333469286764437</v>
      </c>
      <c r="L270" s="18">
        <f t="shared" si="13"/>
        <v>6.881575043492838E-2</v>
      </c>
      <c r="M270">
        <f t="shared" si="14"/>
        <v>0.20644725130478514</v>
      </c>
      <c r="N270" s="26">
        <v>0.9</v>
      </c>
    </row>
    <row r="271" spans="1:14" x14ac:dyDescent="0.25">
      <c r="A271" t="s">
        <v>173</v>
      </c>
      <c r="B271">
        <v>2.1682926000000002E-2</v>
      </c>
      <c r="C271" s="26">
        <v>0.9</v>
      </c>
      <c r="D271">
        <v>1.2157556270000001</v>
      </c>
      <c r="E271">
        <v>1.1679999999999999</v>
      </c>
      <c r="F271" s="18">
        <v>0.75359299999999996</v>
      </c>
      <c r="G271">
        <v>1.1393800000000001</v>
      </c>
      <c r="H271">
        <v>-71.667900000000003</v>
      </c>
      <c r="K271">
        <f t="shared" si="12"/>
        <v>9.1388513298351128</v>
      </c>
      <c r="L271" s="18">
        <f t="shared" si="13"/>
        <v>6.8869743902044311E-2</v>
      </c>
      <c r="M271">
        <f t="shared" si="14"/>
        <v>0.20660923170613293</v>
      </c>
      <c r="N271" s="26">
        <v>0.9</v>
      </c>
    </row>
    <row r="272" spans="1:14" x14ac:dyDescent="0.25">
      <c r="A272" t="s">
        <v>174</v>
      </c>
      <c r="B272">
        <v>2.1682926000000002E-2</v>
      </c>
      <c r="C272" s="26">
        <v>0.9</v>
      </c>
      <c r="D272">
        <v>1.3571225600000001</v>
      </c>
      <c r="E272">
        <v>1.1679999999999999</v>
      </c>
      <c r="F272" s="18">
        <v>0.75372499999999998</v>
      </c>
      <c r="G272">
        <v>1.4206399999999999</v>
      </c>
      <c r="H272">
        <v>-80.001400000000004</v>
      </c>
      <c r="K272">
        <f t="shared" si="12"/>
        <v>9.1429254433942688</v>
      </c>
      <c r="L272" s="18">
        <f t="shared" si="13"/>
        <v>6.8912514798223454E-2</v>
      </c>
      <c r="M272">
        <f t="shared" si="14"/>
        <v>0.20673754439467035</v>
      </c>
      <c r="N272" s="26">
        <v>0.9</v>
      </c>
    </row>
    <row r="273" spans="1:14" x14ac:dyDescent="0.25">
      <c r="A273" t="s">
        <v>175</v>
      </c>
      <c r="B273">
        <v>2.1682926000000002E-2</v>
      </c>
      <c r="C273" s="26">
        <v>0.9</v>
      </c>
      <c r="D273">
        <v>0.75945996000000004</v>
      </c>
      <c r="E273">
        <v>1.1619999999999999</v>
      </c>
      <c r="F273" s="20">
        <v>0.75297700000000001</v>
      </c>
      <c r="G273">
        <v>0.445413</v>
      </c>
      <c r="H273">
        <v>-45.000700000000002</v>
      </c>
      <c r="K273">
        <f t="shared" si="12"/>
        <v>9.1156698553055566</v>
      </c>
      <c r="L273" s="20">
        <f t="shared" si="13"/>
        <v>6.8638897406384125E-2</v>
      </c>
      <c r="M273">
        <f t="shared" si="14"/>
        <v>0.20591669221915238</v>
      </c>
      <c r="N273" s="26">
        <v>0.9</v>
      </c>
    </row>
    <row r="274" spans="1:14" x14ac:dyDescent="0.25">
      <c r="A274" t="s">
        <v>176</v>
      </c>
      <c r="B274">
        <v>2.1682926000000002E-2</v>
      </c>
      <c r="C274" s="26">
        <v>0.9</v>
      </c>
      <c r="D274">
        <v>0.87197254700000004</v>
      </c>
      <c r="E274">
        <v>1.1619999999999999</v>
      </c>
      <c r="F274" s="20">
        <v>0.753166</v>
      </c>
      <c r="G274">
        <v>0.58778399999999997</v>
      </c>
      <c r="H274">
        <v>-51.667499999999997</v>
      </c>
      <c r="K274">
        <f t="shared" si="12"/>
        <v>9.1230090604864831</v>
      </c>
      <c r="L274" s="20">
        <f t="shared" si="13"/>
        <v>6.8711402420503623E-2</v>
      </c>
      <c r="M274">
        <f t="shared" si="14"/>
        <v>0.20613420726151088</v>
      </c>
      <c r="N274" s="26">
        <v>0.9</v>
      </c>
    </row>
    <row r="275" spans="1:14" x14ac:dyDescent="0.25">
      <c r="A275" t="s">
        <v>177</v>
      </c>
      <c r="B275">
        <v>2.1682926000000002E-2</v>
      </c>
      <c r="C275" s="26">
        <v>0.9</v>
      </c>
      <c r="D275">
        <v>0.98448513299999996</v>
      </c>
      <c r="E275">
        <v>1.1619999999999999</v>
      </c>
      <c r="F275" s="20">
        <v>0.75335799999999997</v>
      </c>
      <c r="G275">
        <v>0.74998100000000001</v>
      </c>
      <c r="H275">
        <v>-58.334299999999999</v>
      </c>
      <c r="K275">
        <f t="shared" si="12"/>
        <v>9.129496449904611</v>
      </c>
      <c r="L275" s="20">
        <f t="shared" si="13"/>
        <v>6.877779186507238E-2</v>
      </c>
      <c r="M275">
        <f t="shared" si="14"/>
        <v>0.20633337559521714</v>
      </c>
      <c r="N275" s="26">
        <v>0.9</v>
      </c>
    </row>
    <row r="276" spans="1:14" x14ac:dyDescent="0.25">
      <c r="A276" t="s">
        <v>178</v>
      </c>
      <c r="B276">
        <v>2.1682926000000002E-2</v>
      </c>
      <c r="C276" s="26">
        <v>0.9</v>
      </c>
      <c r="D276">
        <v>1.0969977200000001</v>
      </c>
      <c r="E276">
        <v>1.1619999999999999</v>
      </c>
      <c r="F276" s="20">
        <v>0.75348000000000004</v>
      </c>
      <c r="G276">
        <v>0.93186000000000002</v>
      </c>
      <c r="H276">
        <v>-65.001099999999994</v>
      </c>
      <c r="K276">
        <f t="shared" si="12"/>
        <v>9.1344726040290265</v>
      </c>
      <c r="L276" s="20">
        <f t="shared" si="13"/>
        <v>6.8826424176837916E-2</v>
      </c>
      <c r="M276">
        <f t="shared" si="14"/>
        <v>0.20647927253051374</v>
      </c>
      <c r="N276" s="26">
        <v>0.9</v>
      </c>
    </row>
    <row r="277" spans="1:14" x14ac:dyDescent="0.25">
      <c r="A277" t="s">
        <v>179</v>
      </c>
      <c r="B277">
        <v>2.1682926000000002E-2</v>
      </c>
      <c r="C277" s="26">
        <v>0.9</v>
      </c>
      <c r="D277">
        <v>0.58764103999999995</v>
      </c>
      <c r="E277">
        <v>1.1559999999999999</v>
      </c>
      <c r="F277" s="21">
        <v>0.75275099999999995</v>
      </c>
      <c r="G277">
        <v>0.26759100000000002</v>
      </c>
      <c r="H277">
        <v>-35.000500000000002</v>
      </c>
      <c r="K277">
        <f t="shared" si="12"/>
        <v>9.1026094023670439</v>
      </c>
      <c r="L277" s="21">
        <f t="shared" si="13"/>
        <v>6.8519983302411949E-2</v>
      </c>
      <c r="M277">
        <f t="shared" si="14"/>
        <v>0.20555994990723586</v>
      </c>
      <c r="N277" s="26">
        <v>0.9</v>
      </c>
    </row>
    <row r="278" spans="1:14" x14ac:dyDescent="0.25">
      <c r="A278" t="s">
        <v>180</v>
      </c>
      <c r="B278">
        <v>2.1682926000000002E-2</v>
      </c>
      <c r="C278" s="26">
        <v>0.9</v>
      </c>
      <c r="D278">
        <v>0.65480001600000004</v>
      </c>
      <c r="E278">
        <v>1.1559999999999999</v>
      </c>
      <c r="F278" s="21">
        <v>0.75281299999999995</v>
      </c>
      <c r="G278">
        <v>0.33248899999999998</v>
      </c>
      <c r="H278">
        <v>-39.000599999999999</v>
      </c>
      <c r="K278">
        <f t="shared" si="12"/>
        <v>9.1083946122710575</v>
      </c>
      <c r="L278" s="21">
        <f t="shared" si="13"/>
        <v>6.8569178732476116E-2</v>
      </c>
      <c r="M278">
        <f t="shared" si="14"/>
        <v>0.20570753619742835</v>
      </c>
      <c r="N278" s="26">
        <v>0.9</v>
      </c>
    </row>
    <row r="279" spans="1:14" x14ac:dyDescent="0.25">
      <c r="A279" t="s">
        <v>181</v>
      </c>
      <c r="B279">
        <v>2.1682926000000002E-2</v>
      </c>
      <c r="C279" s="26">
        <v>0.9</v>
      </c>
      <c r="D279">
        <v>0.72195899200000002</v>
      </c>
      <c r="E279">
        <v>1.1559999999999999</v>
      </c>
      <c r="F279" s="21">
        <v>0.75290999999999997</v>
      </c>
      <c r="G279">
        <v>0.40445500000000001</v>
      </c>
      <c r="H279">
        <v>-43.000700000000002</v>
      </c>
      <c r="K279">
        <f t="shared" si="12"/>
        <v>9.1131881206142982</v>
      </c>
      <c r="L279" s="21">
        <f t="shared" si="13"/>
        <v>6.8614104678917112E-2</v>
      </c>
      <c r="M279">
        <f t="shared" si="14"/>
        <v>0.20584231403675135</v>
      </c>
      <c r="N279" s="26">
        <v>0.9</v>
      </c>
    </row>
    <row r="280" spans="1:14" x14ac:dyDescent="0.25">
      <c r="A280" t="s">
        <v>182</v>
      </c>
      <c r="B280">
        <v>2.1682926000000002E-2</v>
      </c>
      <c r="C280" s="26">
        <v>0.9</v>
      </c>
      <c r="D280">
        <v>0.789117968</v>
      </c>
      <c r="E280">
        <v>1.1559999999999999</v>
      </c>
      <c r="F280" s="21">
        <v>0.753027</v>
      </c>
      <c r="G280">
        <v>0.48351699999999997</v>
      </c>
      <c r="H280">
        <v>-47.000799999999998</v>
      </c>
      <c r="K280">
        <f t="shared" si="12"/>
        <v>9.1176925272199831</v>
      </c>
      <c r="L280" s="21">
        <f t="shared" si="13"/>
        <v>6.8658686506948827E-2</v>
      </c>
      <c r="M280">
        <f t="shared" si="14"/>
        <v>0.20597605952084647</v>
      </c>
      <c r="N280" s="26">
        <v>0.9</v>
      </c>
    </row>
    <row r="281" spans="1:14" x14ac:dyDescent="0.25">
      <c r="A281" t="s">
        <v>183</v>
      </c>
      <c r="B281">
        <v>2.1682926000000002E-2</v>
      </c>
      <c r="C281" s="26">
        <v>0.9</v>
      </c>
      <c r="D281">
        <v>0.85627694399999998</v>
      </c>
      <c r="E281">
        <v>1.1559999999999999</v>
      </c>
      <c r="F281" s="21">
        <v>0.753139</v>
      </c>
      <c r="G281">
        <v>0.56966700000000003</v>
      </c>
      <c r="H281">
        <v>-51.000799999999998</v>
      </c>
      <c r="K281">
        <f t="shared" si="12"/>
        <v>9.1219185626355408</v>
      </c>
      <c r="L281" s="21">
        <f t="shared" si="13"/>
        <v>6.8700726243447682E-2</v>
      </c>
      <c r="M281">
        <f t="shared" si="14"/>
        <v>0.20610217873034303</v>
      </c>
      <c r="N281" s="26">
        <v>0.9</v>
      </c>
    </row>
    <row r="282" spans="1:14" x14ac:dyDescent="0.25">
      <c r="A282" t="s">
        <v>184</v>
      </c>
      <c r="B282">
        <v>2.1682926000000002E-2</v>
      </c>
      <c r="C282" s="26">
        <v>0.9</v>
      </c>
      <c r="D282">
        <v>0.92343591999999997</v>
      </c>
      <c r="E282">
        <v>1.1559999999999999</v>
      </c>
      <c r="F282" s="21">
        <v>0.75325500000000001</v>
      </c>
      <c r="G282">
        <v>0.66293800000000003</v>
      </c>
      <c r="H282">
        <v>-55.000900000000001</v>
      </c>
      <c r="K282">
        <f t="shared" si="12"/>
        <v>9.1261066851600905</v>
      </c>
      <c r="L282" s="21">
        <f t="shared" si="13"/>
        <v>6.8742854911302637E-2</v>
      </c>
      <c r="M282">
        <f t="shared" si="14"/>
        <v>0.20622856473390791</v>
      </c>
      <c r="N282" s="26">
        <v>0.9</v>
      </c>
    </row>
    <row r="283" spans="1:14" x14ac:dyDescent="0.25">
      <c r="A283" t="s">
        <v>185</v>
      </c>
      <c r="B283">
        <v>2.1682926000000002E-2</v>
      </c>
      <c r="C283" s="26">
        <v>0.9</v>
      </c>
      <c r="D283">
        <v>0.25053900000000001</v>
      </c>
      <c r="E283">
        <v>1.1499999999999999</v>
      </c>
      <c r="F283" s="25">
        <v>0.75530200000000003</v>
      </c>
      <c r="G283">
        <v>4.8700599999999997E-2</v>
      </c>
      <c r="H283">
        <v>-15.0001</v>
      </c>
      <c r="K283">
        <f t="shared" si="12"/>
        <v>9.0360703853227253</v>
      </c>
      <c r="L283" s="25">
        <f t="shared" si="13"/>
        <v>6.824962034175025E-2</v>
      </c>
      <c r="M283">
        <f t="shared" si="14"/>
        <v>0.20474886102525075</v>
      </c>
      <c r="N283" s="26">
        <v>0.9</v>
      </c>
    </row>
    <row r="284" spans="1:14" x14ac:dyDescent="0.25">
      <c r="A284" t="s">
        <v>186</v>
      </c>
      <c r="B284">
        <v>2.1682926000000002E-2</v>
      </c>
      <c r="C284" s="26">
        <v>0.9</v>
      </c>
      <c r="D284">
        <v>0.322121571</v>
      </c>
      <c r="E284">
        <v>1.1499999999999999</v>
      </c>
      <c r="F284" s="25">
        <v>0.75423200000000001</v>
      </c>
      <c r="G284">
        <v>8.0576900000000007E-2</v>
      </c>
      <c r="H284">
        <v>-19.285900000000002</v>
      </c>
      <c r="K284">
        <f t="shared" si="12"/>
        <v>9.0569092498259192</v>
      </c>
      <c r="L284" s="25">
        <f t="shared" si="13"/>
        <v>6.8310107773147027E-2</v>
      </c>
      <c r="M284">
        <f t="shared" si="14"/>
        <v>0.20493032331944108</v>
      </c>
      <c r="N284" s="26">
        <v>0.9</v>
      </c>
    </row>
    <row r="285" spans="1:14" x14ac:dyDescent="0.25">
      <c r="A285" t="s">
        <v>187</v>
      </c>
      <c r="B285">
        <v>2.1682926000000002E-2</v>
      </c>
      <c r="C285" s="26">
        <v>0.9</v>
      </c>
      <c r="D285">
        <v>0.39370414300000001</v>
      </c>
      <c r="E285">
        <v>1.1499999999999999</v>
      </c>
      <c r="F285" s="25">
        <v>0.75331899999999996</v>
      </c>
      <c r="G285">
        <v>0.120445</v>
      </c>
      <c r="H285">
        <v>-23.5717</v>
      </c>
      <c r="K285">
        <f t="shared" si="12"/>
        <v>9.0736553910789723</v>
      </c>
      <c r="L285" s="25">
        <f t="shared" si="13"/>
        <v>6.83535700555222E-2</v>
      </c>
      <c r="M285">
        <f t="shared" si="14"/>
        <v>0.2050607101665666</v>
      </c>
      <c r="N285" s="26">
        <v>0.9</v>
      </c>
    </row>
    <row r="286" spans="1:14" x14ac:dyDescent="0.25">
      <c r="A286" t="s">
        <v>188</v>
      </c>
      <c r="B286">
        <v>2.1682926000000002E-2</v>
      </c>
      <c r="C286" s="26">
        <v>0.9</v>
      </c>
      <c r="D286">
        <v>0.46528671399999999</v>
      </c>
      <c r="E286">
        <v>1.1499999999999999</v>
      </c>
      <c r="F286" s="25">
        <v>0.75288299999999997</v>
      </c>
      <c r="G286">
        <v>0.16836499999999999</v>
      </c>
      <c r="H286">
        <v>-27.857500000000002</v>
      </c>
      <c r="K286">
        <f t="shared" si="12"/>
        <v>9.08645085579675</v>
      </c>
      <c r="L286" s="25">
        <f t="shared" si="13"/>
        <v>6.8410343796648246E-2</v>
      </c>
      <c r="M286">
        <f t="shared" si="14"/>
        <v>0.20523103138994475</v>
      </c>
      <c r="N286" s="26">
        <v>0.9</v>
      </c>
    </row>
    <row r="287" spans="1:14" x14ac:dyDescent="0.25">
      <c r="A287" t="s">
        <v>189</v>
      </c>
      <c r="B287">
        <v>2.1682926000000002E-2</v>
      </c>
      <c r="C287" s="26">
        <v>0.9</v>
      </c>
      <c r="D287">
        <v>0.53686928599999995</v>
      </c>
      <c r="E287">
        <v>1.1499999999999999</v>
      </c>
      <c r="F287" s="25">
        <v>0.752749</v>
      </c>
      <c r="G287">
        <v>0.22436600000000001</v>
      </c>
      <c r="H287">
        <v>-32.143300000000004</v>
      </c>
      <c r="K287">
        <f t="shared" si="12"/>
        <v>9.096622482756441</v>
      </c>
      <c r="L287" s="25">
        <f t="shared" si="13"/>
        <v>6.8474734772724283E-2</v>
      </c>
      <c r="M287">
        <f t="shared" si="14"/>
        <v>0.20542420431817285</v>
      </c>
      <c r="N287" s="26">
        <v>0.9</v>
      </c>
    </row>
    <row r="288" spans="1:14" x14ac:dyDescent="0.25">
      <c r="A288" t="s">
        <v>190</v>
      </c>
      <c r="B288">
        <v>2.1682926000000002E-2</v>
      </c>
      <c r="C288" s="26">
        <v>0.9</v>
      </c>
      <c r="D288">
        <v>0.60845185700000004</v>
      </c>
      <c r="E288">
        <v>1.1499999999999999</v>
      </c>
      <c r="F288" s="25">
        <v>0.75276500000000002</v>
      </c>
      <c r="G288">
        <v>0.28844399999999998</v>
      </c>
      <c r="H288">
        <v>-36.429099999999998</v>
      </c>
      <c r="K288">
        <f t="shared" si="12"/>
        <v>9.1045701012318041</v>
      </c>
      <c r="L288" s="25">
        <f t="shared" si="13"/>
        <v>6.8536017122537596E-2</v>
      </c>
      <c r="M288">
        <f t="shared" si="14"/>
        <v>0.20560805136761279</v>
      </c>
      <c r="N288" s="26">
        <v>0.9</v>
      </c>
    </row>
    <row r="289" spans="1:14" x14ac:dyDescent="0.25">
      <c r="A289" t="s">
        <v>191</v>
      </c>
      <c r="B289">
        <v>2.1682926000000002E-2</v>
      </c>
      <c r="C289" s="26">
        <v>0.9</v>
      </c>
      <c r="D289">
        <v>0.680034429</v>
      </c>
      <c r="E289">
        <v>1.1499999999999999</v>
      </c>
      <c r="F289" s="25">
        <v>0.75284399999999996</v>
      </c>
      <c r="G289">
        <v>0.36057099999999997</v>
      </c>
      <c r="H289">
        <v>-40.7149</v>
      </c>
      <c r="K289">
        <f t="shared" si="12"/>
        <v>9.1103128839081791</v>
      </c>
      <c r="L289" s="25">
        <f t="shared" si="13"/>
        <v>6.8586443927729696E-2</v>
      </c>
      <c r="M289">
        <f t="shared" si="14"/>
        <v>0.20575933178318909</v>
      </c>
      <c r="N289" s="26">
        <v>0.9</v>
      </c>
    </row>
    <row r="290" spans="1:14" x14ac:dyDescent="0.25">
      <c r="A290" t="s">
        <v>192</v>
      </c>
      <c r="B290">
        <v>2.1682926000000002E-2</v>
      </c>
      <c r="C290" s="26">
        <v>0.9</v>
      </c>
      <c r="D290">
        <v>0.75161699999999998</v>
      </c>
      <c r="E290">
        <v>1.1499999999999999</v>
      </c>
      <c r="F290" s="25">
        <v>0.752965</v>
      </c>
      <c r="G290">
        <v>0.44078200000000001</v>
      </c>
      <c r="H290">
        <v>-45.000700000000002</v>
      </c>
      <c r="K290">
        <f t="shared" si="12"/>
        <v>9.1151697235585587</v>
      </c>
      <c r="L290" s="25">
        <f t="shared" si="13"/>
        <v>6.8634037708992693E-2</v>
      </c>
      <c r="M290">
        <f t="shared" si="14"/>
        <v>0.20590211312697809</v>
      </c>
      <c r="N290" s="26">
        <v>0.9</v>
      </c>
    </row>
    <row r="291" spans="1:14" x14ac:dyDescent="0.25">
      <c r="A291" t="s">
        <v>193</v>
      </c>
      <c r="B291">
        <v>2.1682926000000002E-2</v>
      </c>
      <c r="C291" s="26">
        <v>0.9</v>
      </c>
      <c r="D291">
        <v>3.7795409000000002E-2</v>
      </c>
      <c r="E291">
        <v>1.145</v>
      </c>
      <c r="F291" s="22">
        <v>0.76213799999999998</v>
      </c>
      <c r="G291">
        <v>1.09219E-3</v>
      </c>
      <c r="H291">
        <v>-2.2726500000000001</v>
      </c>
      <c r="K291">
        <f t="shared" si="12"/>
        <v>8.7871098514824535</v>
      </c>
      <c r="L291" s="22">
        <f t="shared" si="13"/>
        <v>6.6969903279891344E-2</v>
      </c>
      <c r="M291">
        <f t="shared" si="14"/>
        <v>0.20090970983967404</v>
      </c>
      <c r="N291" s="26">
        <v>0.9</v>
      </c>
    </row>
    <row r="292" spans="1:14" x14ac:dyDescent="0.25">
      <c r="A292" t="s">
        <v>194</v>
      </c>
      <c r="B292">
        <v>2.1682926000000002E-2</v>
      </c>
      <c r="C292" s="26">
        <v>0.9</v>
      </c>
      <c r="D292">
        <v>7.5590818000000004E-2</v>
      </c>
      <c r="E292">
        <v>1.145</v>
      </c>
      <c r="F292" s="22">
        <v>0.76277099999999998</v>
      </c>
      <c r="G292">
        <v>4.4144400000000004E-3</v>
      </c>
      <c r="H292">
        <v>-4.5453999999999999</v>
      </c>
      <c r="K292">
        <f t="shared" si="12"/>
        <v>8.8712296169719931</v>
      </c>
      <c r="L292" s="22">
        <f t="shared" si="13"/>
        <v>6.7667166861673442E-2</v>
      </c>
      <c r="M292">
        <f t="shared" si="14"/>
        <v>0.20300150058502031</v>
      </c>
      <c r="N292" s="26">
        <v>0.9</v>
      </c>
    </row>
    <row r="293" spans="1:14" x14ac:dyDescent="0.25">
      <c r="A293" t="s">
        <v>195</v>
      </c>
      <c r="B293">
        <v>2.1682926000000002E-2</v>
      </c>
      <c r="C293" s="26">
        <v>0.9</v>
      </c>
      <c r="D293">
        <v>0.11338622700000001</v>
      </c>
      <c r="E293">
        <v>1.145</v>
      </c>
      <c r="F293" s="22">
        <v>0.75942100000000001</v>
      </c>
      <c r="G293">
        <v>9.9625600000000005E-3</v>
      </c>
      <c r="H293">
        <v>-6.8181599999999998</v>
      </c>
      <c r="K293">
        <f t="shared" si="12"/>
        <v>8.9371811529722365</v>
      </c>
      <c r="L293" s="22">
        <f t="shared" si="13"/>
        <v>6.7870830483713285E-2</v>
      </c>
      <c r="M293">
        <f t="shared" si="14"/>
        <v>0.20361249145113985</v>
      </c>
      <c r="N293" s="26">
        <v>0.9</v>
      </c>
    </row>
    <row r="294" spans="1:14" x14ac:dyDescent="0.25">
      <c r="A294" t="s">
        <v>196</v>
      </c>
      <c r="B294">
        <v>2.1682926000000002E-2</v>
      </c>
      <c r="C294" s="26">
        <v>0.9</v>
      </c>
      <c r="D294">
        <v>0.15118163600000001</v>
      </c>
      <c r="E294">
        <v>1.145</v>
      </c>
      <c r="F294" s="22">
        <v>0.75783299999999998</v>
      </c>
      <c r="G294">
        <v>1.77533E-2</v>
      </c>
      <c r="H294">
        <v>-9.0909300000000002</v>
      </c>
      <c r="K294">
        <f t="shared" si="12"/>
        <v>8.9770892321794378</v>
      </c>
      <c r="L294" s="22">
        <f t="shared" si="13"/>
        <v>6.8031344640902394E-2</v>
      </c>
      <c r="M294">
        <f t="shared" si="14"/>
        <v>0.2040940339227072</v>
      </c>
      <c r="N294" s="26">
        <v>0.9</v>
      </c>
    </row>
    <row r="295" spans="1:14" x14ac:dyDescent="0.25">
      <c r="A295" t="s">
        <v>197</v>
      </c>
      <c r="B295">
        <v>2.1682926000000002E-2</v>
      </c>
      <c r="C295" s="26">
        <v>0.9</v>
      </c>
      <c r="D295">
        <v>0.18897704500000001</v>
      </c>
      <c r="E295">
        <v>1.145</v>
      </c>
      <c r="F295" s="22">
        <v>0.75664100000000001</v>
      </c>
      <c r="G295">
        <v>2.7782600000000001E-2</v>
      </c>
      <c r="H295">
        <v>-11.3637</v>
      </c>
      <c r="K295">
        <f t="shared" si="12"/>
        <v>9.0051320604479699</v>
      </c>
      <c r="L295" s="22">
        <f t="shared" si="13"/>
        <v>6.8136521273494136E-2</v>
      </c>
      <c r="M295">
        <f t="shared" si="14"/>
        <v>0.20440956382048242</v>
      </c>
      <c r="N295" s="26">
        <v>0.9</v>
      </c>
    </row>
    <row r="296" spans="1:14" x14ac:dyDescent="0.25">
      <c r="A296" t="s">
        <v>198</v>
      </c>
      <c r="B296">
        <v>2.1682926000000002E-2</v>
      </c>
      <c r="C296" s="26">
        <v>0.9</v>
      </c>
      <c r="D296">
        <v>0.22677245500000001</v>
      </c>
      <c r="E296">
        <v>1.145</v>
      </c>
      <c r="F296" s="22">
        <v>0.75572700000000004</v>
      </c>
      <c r="G296">
        <v>4.0051200000000002E-2</v>
      </c>
      <c r="H296">
        <v>-13.6365</v>
      </c>
      <c r="K296">
        <f t="shared" si="12"/>
        <v>9.0259173191512598</v>
      </c>
      <c r="L296" s="22">
        <f t="shared" si="13"/>
        <v>6.8211294178502246E-2</v>
      </c>
      <c r="M296">
        <f t="shared" si="14"/>
        <v>0.20463388253550674</v>
      </c>
      <c r="N296" s="26">
        <v>0.9</v>
      </c>
    </row>
    <row r="297" spans="1:14" x14ac:dyDescent="0.25">
      <c r="A297" t="s">
        <v>199</v>
      </c>
      <c r="B297">
        <v>2.1682926000000002E-2</v>
      </c>
      <c r="C297" s="26">
        <v>0.9</v>
      </c>
      <c r="D297">
        <v>0.26456786399999999</v>
      </c>
      <c r="E297">
        <v>1.145</v>
      </c>
      <c r="F297" s="22">
        <v>0.75509700000000002</v>
      </c>
      <c r="G297">
        <v>5.4559799999999999E-2</v>
      </c>
      <c r="H297">
        <v>-15.9092</v>
      </c>
      <c r="K297">
        <f t="shared" si="12"/>
        <v>9.0410720894049703</v>
      </c>
      <c r="L297" s="22">
        <f t="shared" si="13"/>
        <v>6.8268864114934241E-2</v>
      </c>
      <c r="M297">
        <f t="shared" si="14"/>
        <v>0.20480659234480272</v>
      </c>
      <c r="N297" s="26">
        <v>0.9</v>
      </c>
    </row>
    <row r="298" spans="1:14" x14ac:dyDescent="0.25">
      <c r="A298" t="s">
        <v>200</v>
      </c>
      <c r="B298">
        <v>2.1682926000000002E-2</v>
      </c>
      <c r="C298" s="26">
        <v>0.9</v>
      </c>
      <c r="D298">
        <v>0.30236327299999999</v>
      </c>
      <c r="E298">
        <v>1.145</v>
      </c>
      <c r="F298" s="22">
        <v>0.75453400000000004</v>
      </c>
      <c r="G298">
        <v>7.12946E-2</v>
      </c>
      <c r="H298">
        <v>-18.181999999999999</v>
      </c>
      <c r="K298">
        <f t="shared" si="12"/>
        <v>9.0519283148565144</v>
      </c>
      <c r="L298" s="22">
        <f t="shared" si="13"/>
        <v>6.8299876791219447E-2</v>
      </c>
      <c r="M298">
        <f t="shared" si="14"/>
        <v>0.20489963037365833</v>
      </c>
      <c r="N298" s="26">
        <v>0.9</v>
      </c>
    </row>
    <row r="299" spans="1:14" x14ac:dyDescent="0.25">
      <c r="A299" t="s">
        <v>201</v>
      </c>
      <c r="B299">
        <v>2.1682926000000002E-2</v>
      </c>
      <c r="C299" s="26">
        <v>0.9</v>
      </c>
      <c r="D299">
        <v>0.34015868199999999</v>
      </c>
      <c r="E299">
        <v>1.145</v>
      </c>
      <c r="F299" s="22">
        <v>0.75395800000000002</v>
      </c>
      <c r="G299">
        <v>9.0256000000000003E-2</v>
      </c>
      <c r="H299">
        <v>-20.454799999999999</v>
      </c>
      <c r="K299">
        <f t="shared" si="12"/>
        <v>9.0611859741617664</v>
      </c>
      <c r="L299" s="22">
        <f t="shared" si="13"/>
        <v>6.8317536547070568E-2</v>
      </c>
      <c r="M299">
        <f t="shared" si="14"/>
        <v>0.2049526096412117</v>
      </c>
      <c r="N299" s="26">
        <v>0.9</v>
      </c>
    </row>
    <row r="300" spans="1:14" x14ac:dyDescent="0.25">
      <c r="A300" t="s">
        <v>202</v>
      </c>
      <c r="B300">
        <v>2.1682926000000002E-2</v>
      </c>
      <c r="C300" s="26">
        <v>0.9</v>
      </c>
      <c r="D300">
        <v>0.37795409099999999</v>
      </c>
      <c r="E300">
        <v>1.145</v>
      </c>
      <c r="F300" s="22">
        <v>0.75347799999999998</v>
      </c>
      <c r="G300">
        <v>0.111467</v>
      </c>
      <c r="H300">
        <v>-22.727599999999999</v>
      </c>
      <c r="K300">
        <f t="shared" si="12"/>
        <v>9.0701646778811842</v>
      </c>
      <c r="L300" s="22">
        <f t="shared" si="13"/>
        <v>6.8341695411605591E-2</v>
      </c>
      <c r="M300">
        <f t="shared" si="14"/>
        <v>0.20502508623481677</v>
      </c>
      <c r="N300" s="26">
        <v>0.9</v>
      </c>
    </row>
    <row r="301" spans="1:14" x14ac:dyDescent="0.25">
      <c r="A301" t="s">
        <v>203</v>
      </c>
      <c r="B301">
        <v>2.1682926000000002E-2</v>
      </c>
      <c r="C301" s="26">
        <v>0.9</v>
      </c>
      <c r="D301">
        <v>0.41574949999999999</v>
      </c>
      <c r="E301">
        <v>1.145</v>
      </c>
      <c r="F301" s="22">
        <v>0.75314000000000003</v>
      </c>
      <c r="G301">
        <v>0.13492999999999999</v>
      </c>
      <c r="H301">
        <v>-25.000299999999999</v>
      </c>
      <c r="K301">
        <f t="shared" si="12"/>
        <v>9.0779744556643127</v>
      </c>
      <c r="L301" s="22">
        <f t="shared" si="13"/>
        <v>6.8369856815390206E-2</v>
      </c>
      <c r="M301">
        <f t="shared" si="14"/>
        <v>0.20510957044617062</v>
      </c>
      <c r="N301" s="26">
        <v>0.9</v>
      </c>
    </row>
    <row r="302" spans="1:14" x14ac:dyDescent="0.25">
      <c r="A302" t="s">
        <v>204</v>
      </c>
      <c r="B302">
        <v>2.3965099E-2</v>
      </c>
      <c r="C302" s="26">
        <v>1</v>
      </c>
      <c r="D302">
        <v>0.93302176000000003</v>
      </c>
      <c r="E302">
        <v>1.1679999999999999</v>
      </c>
      <c r="F302" s="18">
        <v>0.766154</v>
      </c>
      <c r="G302">
        <v>0.76332199999999994</v>
      </c>
      <c r="H302">
        <v>-55.000900000000001</v>
      </c>
      <c r="K302">
        <f t="shared" si="12"/>
        <v>10.224953657235329</v>
      </c>
      <c r="L302" s="18">
        <f t="shared" si="13"/>
        <v>7.8338891443054767E-2</v>
      </c>
      <c r="M302">
        <f t="shared" si="14"/>
        <v>0.23501667432916429</v>
      </c>
      <c r="N302" s="26">
        <v>1</v>
      </c>
    </row>
    <row r="303" spans="1:14" x14ac:dyDescent="0.25">
      <c r="A303" t="s">
        <v>205</v>
      </c>
      <c r="B303">
        <v>2.3965099E-2</v>
      </c>
      <c r="C303" s="26">
        <v>1</v>
      </c>
      <c r="D303">
        <v>1.074388693</v>
      </c>
      <c r="E303">
        <v>1.1679999999999999</v>
      </c>
      <c r="F303" s="18">
        <v>0.76622699999999999</v>
      </c>
      <c r="G303">
        <v>1.0133099999999999</v>
      </c>
      <c r="H303">
        <v>-63.334400000000002</v>
      </c>
      <c r="K303">
        <f t="shared" si="12"/>
        <v>10.235634989274967</v>
      </c>
      <c r="L303" s="18">
        <f t="shared" si="13"/>
        <v>7.8428198909271898E-2</v>
      </c>
      <c r="M303">
        <f t="shared" si="14"/>
        <v>0.23528459672781571</v>
      </c>
      <c r="N303" s="26">
        <v>1</v>
      </c>
    </row>
    <row r="304" spans="1:14" x14ac:dyDescent="0.25">
      <c r="A304" t="s">
        <v>206</v>
      </c>
      <c r="B304">
        <v>2.3965099E-2</v>
      </c>
      <c r="C304" s="26">
        <v>1</v>
      </c>
      <c r="D304">
        <v>1.2157556270000001</v>
      </c>
      <c r="E304">
        <v>1.1679999999999999</v>
      </c>
      <c r="F304" s="18">
        <v>0.76628300000000005</v>
      </c>
      <c r="G304">
        <v>1.2989999999999999</v>
      </c>
      <c r="H304">
        <v>-71.667900000000003</v>
      </c>
      <c r="K304">
        <f t="shared" si="12"/>
        <v>10.24660126439098</v>
      </c>
      <c r="L304" s="18">
        <f t="shared" si="13"/>
        <v>7.8517963566813134E-2</v>
      </c>
      <c r="M304">
        <f t="shared" si="14"/>
        <v>0.23555389070043942</v>
      </c>
      <c r="N304" s="26">
        <v>1</v>
      </c>
    </row>
    <row r="305" spans="1:14" x14ac:dyDescent="0.25">
      <c r="A305" t="s">
        <v>207</v>
      </c>
      <c r="B305">
        <v>2.3965099E-2</v>
      </c>
      <c r="C305" s="26">
        <v>1</v>
      </c>
      <c r="D305">
        <v>1.3571225600000001</v>
      </c>
      <c r="E305">
        <v>1.1679999999999999</v>
      </c>
      <c r="F305" s="18">
        <v>0.76634800000000003</v>
      </c>
      <c r="G305">
        <v>1.6206100000000001</v>
      </c>
      <c r="H305">
        <v>-80.001300000000001</v>
      </c>
      <c r="K305">
        <f t="shared" si="12"/>
        <v>10.258116616106784</v>
      </c>
      <c r="L305" s="18">
        <f t="shared" si="13"/>
        <v>7.8612871525202022E-2</v>
      </c>
      <c r="M305">
        <f t="shared" si="14"/>
        <v>0.23583861457560606</v>
      </c>
      <c r="N305" s="26">
        <v>1</v>
      </c>
    </row>
    <row r="306" spans="1:14" x14ac:dyDescent="0.25">
      <c r="A306" t="s">
        <v>208</v>
      </c>
      <c r="B306">
        <v>2.3965099E-2</v>
      </c>
      <c r="C306" s="26">
        <v>1</v>
      </c>
      <c r="D306">
        <v>0.75945996000000004</v>
      </c>
      <c r="E306">
        <v>1.1619999999999999</v>
      </c>
      <c r="F306" s="20">
        <v>0.76597499999999996</v>
      </c>
      <c r="G306">
        <v>0.50762399999999996</v>
      </c>
      <c r="H306">
        <v>-45.000700000000002</v>
      </c>
      <c r="K306">
        <f t="shared" si="12"/>
        <v>10.212568012363892</v>
      </c>
      <c r="L306" s="20">
        <f t="shared" si="13"/>
        <v>7.8225717832704322E-2</v>
      </c>
      <c r="M306">
        <f t="shared" si="14"/>
        <v>0.23467715349811297</v>
      </c>
      <c r="N306" s="26">
        <v>1</v>
      </c>
    </row>
    <row r="307" spans="1:14" x14ac:dyDescent="0.25">
      <c r="A307" t="s">
        <v>209</v>
      </c>
      <c r="B307">
        <v>2.3965099E-2</v>
      </c>
      <c r="C307" s="26">
        <v>1</v>
      </c>
      <c r="D307">
        <v>0.87197254700000004</v>
      </c>
      <c r="E307">
        <v>1.1619999999999999</v>
      </c>
      <c r="F307" s="20">
        <v>0.76609700000000003</v>
      </c>
      <c r="G307">
        <v>0.66980200000000001</v>
      </c>
      <c r="H307">
        <v>-51.667499999999997</v>
      </c>
      <c r="K307">
        <f t="shared" si="12"/>
        <v>10.220537382127953</v>
      </c>
      <c r="L307" s="20">
        <f t="shared" si="13"/>
        <v>7.8299230268360775E-2</v>
      </c>
      <c r="M307">
        <f t="shared" si="14"/>
        <v>0.23489769080508233</v>
      </c>
      <c r="N307" s="26">
        <v>1</v>
      </c>
    </row>
    <row r="308" spans="1:14" x14ac:dyDescent="0.25">
      <c r="A308" t="s">
        <v>210</v>
      </c>
      <c r="B308">
        <v>2.3965099E-2</v>
      </c>
      <c r="C308" s="26">
        <v>1</v>
      </c>
      <c r="D308">
        <v>0.98448513299999996</v>
      </c>
      <c r="E308">
        <v>1.1619999999999999</v>
      </c>
      <c r="F308" s="20">
        <v>0.76618200000000003</v>
      </c>
      <c r="G308">
        <v>0.85459099999999999</v>
      </c>
      <c r="H308">
        <v>-58.334299999999999</v>
      </c>
      <c r="K308">
        <f t="shared" si="12"/>
        <v>10.228791763110921</v>
      </c>
      <c r="L308" s="20">
        <f t="shared" si="13"/>
        <v>7.8371161306438522E-2</v>
      </c>
      <c r="M308">
        <f t="shared" si="14"/>
        <v>0.23511348391931558</v>
      </c>
      <c r="N308" s="26">
        <v>1</v>
      </c>
    </row>
    <row r="309" spans="1:14" x14ac:dyDescent="0.25">
      <c r="A309" t="s">
        <v>211</v>
      </c>
      <c r="B309">
        <v>2.3965099E-2</v>
      </c>
      <c r="C309" s="26">
        <v>1</v>
      </c>
      <c r="D309">
        <v>1.0969977200000001</v>
      </c>
      <c r="E309">
        <v>1.1619999999999999</v>
      </c>
      <c r="F309" s="20">
        <v>0.76623799999999997</v>
      </c>
      <c r="G309">
        <v>1.0620400000000001</v>
      </c>
      <c r="H309">
        <v>-65.001099999999994</v>
      </c>
      <c r="K309">
        <f t="shared" si="12"/>
        <v>10.237212647363449</v>
      </c>
      <c r="L309" s="20">
        <f t="shared" si="13"/>
        <v>7.8441413444904753E-2</v>
      </c>
      <c r="M309">
        <f t="shared" si="14"/>
        <v>0.23532424033471427</v>
      </c>
      <c r="N309" s="26">
        <v>1</v>
      </c>
    </row>
    <row r="310" spans="1:14" x14ac:dyDescent="0.25">
      <c r="A310" t="s">
        <v>212</v>
      </c>
      <c r="B310">
        <v>2.3965099E-2</v>
      </c>
      <c r="C310" s="26">
        <v>1</v>
      </c>
      <c r="D310">
        <v>0.58764103999999995</v>
      </c>
      <c r="E310">
        <v>1.1559999999999999</v>
      </c>
      <c r="F310" s="21">
        <v>0.76595299999999999</v>
      </c>
      <c r="G310">
        <v>0.30499399999999999</v>
      </c>
      <c r="H310">
        <v>-35.000500000000002</v>
      </c>
      <c r="K310">
        <f t="shared" si="12"/>
        <v>10.196119579045982</v>
      </c>
      <c r="L310" s="21">
        <f t="shared" si="13"/>
        <v>7.8097483799290074E-2</v>
      </c>
      <c r="M310">
        <f t="shared" si="14"/>
        <v>0.23429245139787022</v>
      </c>
      <c r="N310" s="26">
        <v>1</v>
      </c>
    </row>
    <row r="311" spans="1:14" x14ac:dyDescent="0.25">
      <c r="A311" t="s">
        <v>213</v>
      </c>
      <c r="B311">
        <v>2.3965099E-2</v>
      </c>
      <c r="C311" s="26">
        <v>1</v>
      </c>
      <c r="D311">
        <v>0.65480001600000004</v>
      </c>
      <c r="E311">
        <v>1.1559999999999999</v>
      </c>
      <c r="F311" s="21">
        <v>0.76592300000000002</v>
      </c>
      <c r="G311">
        <v>0.37894899999999998</v>
      </c>
      <c r="H311">
        <v>-39.000599999999999</v>
      </c>
      <c r="K311">
        <f t="shared" si="12"/>
        <v>10.203456568950461</v>
      </c>
      <c r="L311" s="21">
        <f t="shared" si="13"/>
        <v>7.8150620656602443E-2</v>
      </c>
      <c r="M311">
        <f t="shared" si="14"/>
        <v>0.23445186196980733</v>
      </c>
      <c r="N311" s="26">
        <v>1</v>
      </c>
    </row>
    <row r="312" spans="1:14" x14ac:dyDescent="0.25">
      <c r="A312" t="s">
        <v>214</v>
      </c>
      <c r="B312">
        <v>2.3965099E-2</v>
      </c>
      <c r="C312" s="26">
        <v>1</v>
      </c>
      <c r="D312">
        <v>0.72195899200000002</v>
      </c>
      <c r="E312">
        <v>1.1559999999999999</v>
      </c>
      <c r="F312" s="21">
        <v>0.76594700000000004</v>
      </c>
      <c r="G312">
        <v>0.460951</v>
      </c>
      <c r="H312">
        <v>-43.000599999999999</v>
      </c>
      <c r="K312">
        <f t="shared" si="12"/>
        <v>10.209424316594143</v>
      </c>
      <c r="L312" s="21">
        <f t="shared" si="13"/>
        <v>7.819877927022334E-2</v>
      </c>
      <c r="M312">
        <f t="shared" si="14"/>
        <v>0.23459633781067002</v>
      </c>
      <c r="N312" s="26">
        <v>1</v>
      </c>
    </row>
    <row r="313" spans="1:14" x14ac:dyDescent="0.25">
      <c r="A313" t="s">
        <v>215</v>
      </c>
      <c r="B313">
        <v>2.3965099E-2</v>
      </c>
      <c r="C313" s="26">
        <v>1</v>
      </c>
      <c r="D313">
        <v>0.789117968</v>
      </c>
      <c r="E313">
        <v>1.1559999999999999</v>
      </c>
      <c r="F313" s="21">
        <v>0.76600100000000004</v>
      </c>
      <c r="G313">
        <v>0.55102399999999996</v>
      </c>
      <c r="H313">
        <v>-47.000700000000002</v>
      </c>
      <c r="K313">
        <f t="shared" si="12"/>
        <v>10.214727120185518</v>
      </c>
      <c r="L313" s="21">
        <f t="shared" si="13"/>
        <v>7.8244911887892274E-2</v>
      </c>
      <c r="M313">
        <f t="shared" si="14"/>
        <v>0.23473473566367681</v>
      </c>
      <c r="N313" s="26">
        <v>1</v>
      </c>
    </row>
    <row r="314" spans="1:14" x14ac:dyDescent="0.25">
      <c r="A314" t="s">
        <v>216</v>
      </c>
      <c r="B314">
        <v>2.3965099E-2</v>
      </c>
      <c r="C314" s="26">
        <v>1</v>
      </c>
      <c r="D314">
        <v>0.85627694399999998</v>
      </c>
      <c r="E314">
        <v>1.1559999999999999</v>
      </c>
      <c r="F314" s="21">
        <v>0.76607700000000001</v>
      </c>
      <c r="G314">
        <v>0.64916499999999999</v>
      </c>
      <c r="H314">
        <v>-51.000799999999998</v>
      </c>
      <c r="K314">
        <f t="shared" si="12"/>
        <v>10.219342127346692</v>
      </c>
      <c r="L314" s="21">
        <f t="shared" si="13"/>
        <v>7.8288029588913718E-2</v>
      </c>
      <c r="M314">
        <f t="shared" si="14"/>
        <v>0.23486408876674114</v>
      </c>
      <c r="N314" s="26">
        <v>1</v>
      </c>
    </row>
    <row r="315" spans="1:14" x14ac:dyDescent="0.25">
      <c r="A315" t="s">
        <v>217</v>
      </c>
      <c r="B315">
        <v>2.3965099E-2</v>
      </c>
      <c r="C315" s="26">
        <v>1</v>
      </c>
      <c r="D315">
        <v>0.92343591999999997</v>
      </c>
      <c r="E315">
        <v>1.1559999999999999</v>
      </c>
      <c r="F315" s="21">
        <v>0.76614599999999999</v>
      </c>
      <c r="G315">
        <v>0.75541800000000003</v>
      </c>
      <c r="H315">
        <v>-55.000900000000001</v>
      </c>
      <c r="K315">
        <f t="shared" si="12"/>
        <v>10.224226011996636</v>
      </c>
      <c r="L315" s="21">
        <f t="shared" si="13"/>
        <v>7.8332498621871749E-2</v>
      </c>
      <c r="M315">
        <f t="shared" si="14"/>
        <v>0.23499749586561525</v>
      </c>
      <c r="N315" s="26">
        <v>1</v>
      </c>
    </row>
    <row r="316" spans="1:14" x14ac:dyDescent="0.25">
      <c r="A316" t="s">
        <v>218</v>
      </c>
      <c r="B316">
        <v>2.3965099E-2</v>
      </c>
      <c r="C316" s="26">
        <v>1</v>
      </c>
      <c r="D316">
        <v>0.25053900000000001</v>
      </c>
      <c r="E316">
        <v>1.1499999999999999</v>
      </c>
      <c r="F316" s="25">
        <v>0.76897000000000004</v>
      </c>
      <c r="G316">
        <v>5.5398599999999999E-2</v>
      </c>
      <c r="H316">
        <v>-15.0001</v>
      </c>
      <c r="K316">
        <f t="shared" si="12"/>
        <v>10.096138990307521</v>
      </c>
      <c r="L316" s="25">
        <f t="shared" si="13"/>
        <v>7.7636279993767751E-2</v>
      </c>
      <c r="M316">
        <f t="shared" si="14"/>
        <v>0.23290883998130324</v>
      </c>
      <c r="N316" s="26">
        <v>1</v>
      </c>
    </row>
    <row r="317" spans="1:14" x14ac:dyDescent="0.25">
      <c r="A317" t="s">
        <v>219</v>
      </c>
      <c r="B317">
        <v>2.3965099E-2</v>
      </c>
      <c r="C317" s="26">
        <v>1</v>
      </c>
      <c r="D317">
        <v>0.322121571</v>
      </c>
      <c r="E317">
        <v>1.1499999999999999</v>
      </c>
      <c r="F317" s="25">
        <v>0.76766199999999996</v>
      </c>
      <c r="G317">
        <v>9.1771500000000006E-2</v>
      </c>
      <c r="H317">
        <v>-19.285900000000002</v>
      </c>
      <c r="K317">
        <f t="shared" si="12"/>
        <v>10.134730457140774</v>
      </c>
      <c r="L317" s="25">
        <f t="shared" si="13"/>
        <v>7.7800474521896007E-2</v>
      </c>
      <c r="M317">
        <f t="shared" si="14"/>
        <v>0.23340142356568802</v>
      </c>
      <c r="N317" s="26">
        <v>1</v>
      </c>
    </row>
    <row r="318" spans="1:14" x14ac:dyDescent="0.25">
      <c r="A318" t="s">
        <v>220</v>
      </c>
      <c r="B318">
        <v>2.3965099E-2</v>
      </c>
      <c r="C318" s="26">
        <v>1</v>
      </c>
      <c r="D318">
        <v>0.39370414300000001</v>
      </c>
      <c r="E318">
        <v>1.1499999999999999</v>
      </c>
      <c r="F318" s="25">
        <v>0.76675599999999999</v>
      </c>
      <c r="G318">
        <v>0.13725000000000001</v>
      </c>
      <c r="H318">
        <v>-23.5717</v>
      </c>
      <c r="K318">
        <f t="shared" si="12"/>
        <v>10.158453487429075</v>
      </c>
      <c r="L318" s="25">
        <f t="shared" si="13"/>
        <v>7.7890551622071674E-2</v>
      </c>
      <c r="M318">
        <f t="shared" si="14"/>
        <v>0.23367165486621502</v>
      </c>
      <c r="N318" s="26">
        <v>1</v>
      </c>
    </row>
    <row r="319" spans="1:14" x14ac:dyDescent="0.25">
      <c r="A319" t="s">
        <v>221</v>
      </c>
      <c r="B319">
        <v>2.3965099E-2</v>
      </c>
      <c r="C319" s="26">
        <v>1</v>
      </c>
      <c r="D319">
        <v>0.46528671399999999</v>
      </c>
      <c r="E319">
        <v>1.1499999999999999</v>
      </c>
      <c r="F319" s="25">
        <v>0.76623399999999997</v>
      </c>
      <c r="G319">
        <v>0.19187399999999999</v>
      </c>
      <c r="H319">
        <v>-27.857500000000002</v>
      </c>
      <c r="K319">
        <f t="shared" si="12"/>
        <v>10.174771591186392</v>
      </c>
      <c r="L319" s="25">
        <f t="shared" si="13"/>
        <v>7.7962559354011141E-2</v>
      </c>
      <c r="M319">
        <f t="shared" si="14"/>
        <v>0.23388767806203342</v>
      </c>
      <c r="N319" s="26">
        <v>1</v>
      </c>
    </row>
    <row r="320" spans="1:14" x14ac:dyDescent="0.25">
      <c r="A320" t="s">
        <v>222</v>
      </c>
      <c r="B320">
        <v>2.3965099E-2</v>
      </c>
      <c r="C320" s="26">
        <v>1</v>
      </c>
      <c r="D320">
        <v>0.53686928599999995</v>
      </c>
      <c r="E320">
        <v>1.1499999999999999</v>
      </c>
      <c r="F320" s="25">
        <v>0.76602400000000004</v>
      </c>
      <c r="G320">
        <v>0.25571300000000002</v>
      </c>
      <c r="H320">
        <v>-32.143300000000004</v>
      </c>
      <c r="K320">
        <f t="shared" si="12"/>
        <v>10.187878199539185</v>
      </c>
      <c r="L320" s="25">
        <f t="shared" si="13"/>
        <v>7.8041592099238055E-2</v>
      </c>
      <c r="M320">
        <f t="shared" si="14"/>
        <v>0.23412477629771417</v>
      </c>
      <c r="N320" s="26">
        <v>1</v>
      </c>
    </row>
    <row r="321" spans="1:14" x14ac:dyDescent="0.25">
      <c r="A321" t="s">
        <v>223</v>
      </c>
      <c r="B321">
        <v>2.3965099E-2</v>
      </c>
      <c r="C321" s="26">
        <v>1</v>
      </c>
      <c r="D321">
        <v>0.60845185700000004</v>
      </c>
      <c r="E321">
        <v>1.1499999999999999</v>
      </c>
      <c r="F321" s="25">
        <v>0.76594099999999998</v>
      </c>
      <c r="G321">
        <v>0.32876300000000003</v>
      </c>
      <c r="H321">
        <v>-36.429099999999998</v>
      </c>
      <c r="K321">
        <f t="shared" si="12"/>
        <v>10.198703598119412</v>
      </c>
      <c r="L321" s="25">
        <f t="shared" si="13"/>
        <v>7.8116052326471799E-2</v>
      </c>
      <c r="M321">
        <f t="shared" si="14"/>
        <v>0.23434815697941541</v>
      </c>
      <c r="N321" s="26">
        <v>1</v>
      </c>
    </row>
    <row r="322" spans="1:14" x14ac:dyDescent="0.25">
      <c r="A322" t="s">
        <v>224</v>
      </c>
      <c r="B322">
        <v>2.3965099E-2</v>
      </c>
      <c r="C322" s="26">
        <v>1</v>
      </c>
      <c r="D322">
        <v>0.680034429</v>
      </c>
      <c r="E322">
        <v>1.1499999999999999</v>
      </c>
      <c r="F322" s="25">
        <v>0.76592400000000005</v>
      </c>
      <c r="G322">
        <v>0.410943</v>
      </c>
      <c r="H322">
        <v>-40.7149</v>
      </c>
      <c r="K322">
        <f t="shared" si="12"/>
        <v>10.205714162428597</v>
      </c>
      <c r="L322" s="25">
        <f t="shared" si="13"/>
        <v>7.8168014141439618E-2</v>
      </c>
      <c r="M322">
        <f t="shared" si="14"/>
        <v>0.23450404242431885</v>
      </c>
      <c r="N322" s="26">
        <v>1</v>
      </c>
    </row>
    <row r="323" spans="1:14" x14ac:dyDescent="0.25">
      <c r="A323" t="s">
        <v>225</v>
      </c>
      <c r="B323">
        <v>2.3965099E-2</v>
      </c>
      <c r="C323" s="26">
        <v>1</v>
      </c>
      <c r="D323">
        <v>0.75161699999999998</v>
      </c>
      <c r="E323">
        <v>1.1499999999999999</v>
      </c>
      <c r="F323" s="25">
        <v>0.76596799999999998</v>
      </c>
      <c r="G323">
        <v>0.50234100000000004</v>
      </c>
      <c r="H323">
        <v>-45.000700000000002</v>
      </c>
      <c r="K323">
        <f t="shared" si="12"/>
        <v>10.211832843014731</v>
      </c>
      <c r="L323" s="25">
        <f t="shared" si="13"/>
        <v>7.821937179098308E-2</v>
      </c>
      <c r="M323">
        <f t="shared" si="14"/>
        <v>0.23465811537294923</v>
      </c>
      <c r="N323" s="26">
        <v>1</v>
      </c>
    </row>
    <row r="324" spans="1:14" x14ac:dyDescent="0.25">
      <c r="A324" t="s">
        <v>226</v>
      </c>
      <c r="B324">
        <v>2.3965099E-2</v>
      </c>
      <c r="C324" s="26">
        <v>1</v>
      </c>
      <c r="D324">
        <v>3.7795409000000002E-2</v>
      </c>
      <c r="E324">
        <v>1.145</v>
      </c>
      <c r="F324" s="22">
        <v>0.77797700000000003</v>
      </c>
      <c r="G324">
        <v>1.23824E-3</v>
      </c>
      <c r="H324">
        <v>-2.2726500000000001</v>
      </c>
      <c r="K324">
        <f t="shared" si="12"/>
        <v>9.7593197533904839</v>
      </c>
      <c r="L324" s="22">
        <f t="shared" si="13"/>
        <v>7.5925263037834687E-2</v>
      </c>
      <c r="M324">
        <f t="shared" si="14"/>
        <v>0.22777578911350405</v>
      </c>
      <c r="N324" s="26">
        <v>1</v>
      </c>
    </row>
    <row r="325" spans="1:14" x14ac:dyDescent="0.25">
      <c r="A325" t="s">
        <v>227</v>
      </c>
      <c r="B325">
        <v>2.3965099E-2</v>
      </c>
      <c r="C325" s="26">
        <v>1</v>
      </c>
      <c r="D325">
        <v>7.5590818000000004E-2</v>
      </c>
      <c r="E325">
        <v>1.145</v>
      </c>
      <c r="F325" s="22">
        <v>0.77666199999999996</v>
      </c>
      <c r="G325">
        <v>5.0126800000000003E-3</v>
      </c>
      <c r="H325">
        <v>-4.5453900000000003</v>
      </c>
      <c r="K325">
        <f t="shared" si="12"/>
        <v>9.8933234997014612</v>
      </c>
      <c r="L325" s="22">
        <f t="shared" si="13"/>
        <v>7.6837684159251365E-2</v>
      </c>
      <c r="M325">
        <f t="shared" si="14"/>
        <v>0.23051305247775411</v>
      </c>
      <c r="N325" s="26">
        <v>1</v>
      </c>
    </row>
    <row r="326" spans="1:14" x14ac:dyDescent="0.25">
      <c r="A326" t="s">
        <v>228</v>
      </c>
      <c r="B326">
        <v>2.3965099E-2</v>
      </c>
      <c r="C326" s="26">
        <v>1</v>
      </c>
      <c r="D326">
        <v>0.11338622700000001</v>
      </c>
      <c r="E326">
        <v>1.145</v>
      </c>
      <c r="F326" s="22">
        <v>0.77347699999999997</v>
      </c>
      <c r="G326">
        <v>1.1307299999999999E-2</v>
      </c>
      <c r="H326">
        <v>-6.8181599999999998</v>
      </c>
      <c r="K326">
        <f t="shared" ref="K326:K334" si="15">(L326/F326)*100</f>
        <v>9.9591832634502921</v>
      </c>
      <c r="L326" s="22">
        <f t="shared" ref="L326:L334" si="16">G326/($D$3*((E326*H326^2)/2))</f>
        <v>7.7031991930637408E-2</v>
      </c>
      <c r="M326">
        <f t="shared" ref="M326:M334" si="17">L326*3</f>
        <v>0.23109597579191221</v>
      </c>
      <c r="N326" s="26">
        <v>1</v>
      </c>
    </row>
    <row r="327" spans="1:14" x14ac:dyDescent="0.25">
      <c r="A327" t="s">
        <v>229</v>
      </c>
      <c r="B327">
        <v>2.3965099E-2</v>
      </c>
      <c r="C327" s="26">
        <v>1</v>
      </c>
      <c r="D327">
        <v>0.15118163600000001</v>
      </c>
      <c r="E327">
        <v>1.145</v>
      </c>
      <c r="F327" s="22">
        <v>0.77178000000000002</v>
      </c>
      <c r="G327">
        <v>2.0161700000000001E-2</v>
      </c>
      <c r="H327">
        <v>-9.0909200000000006</v>
      </c>
      <c r="K327">
        <f t="shared" si="15"/>
        <v>10.010702304429206</v>
      </c>
      <c r="L327" s="22">
        <f t="shared" si="16"/>
        <v>7.7260598245123727E-2</v>
      </c>
      <c r="M327">
        <f t="shared" si="17"/>
        <v>0.23178179473537119</v>
      </c>
      <c r="N327" s="26">
        <v>1</v>
      </c>
    </row>
    <row r="328" spans="1:14" x14ac:dyDescent="0.25">
      <c r="A328" t="s">
        <v>230</v>
      </c>
      <c r="B328">
        <v>2.3965099E-2</v>
      </c>
      <c r="C328" s="26">
        <v>1</v>
      </c>
      <c r="D328">
        <v>0.18897704500000001</v>
      </c>
      <c r="E328">
        <v>1.145</v>
      </c>
      <c r="F328" s="22">
        <v>0.77044699999999999</v>
      </c>
      <c r="G328">
        <v>3.1574600000000001E-2</v>
      </c>
      <c r="H328">
        <v>-11.3637</v>
      </c>
      <c r="K328">
        <f t="shared" si="15"/>
        <v>10.050835373964141</v>
      </c>
      <c r="L328" s="22">
        <f t="shared" si="16"/>
        <v>7.7436359613645506E-2</v>
      </c>
      <c r="M328">
        <f t="shared" si="17"/>
        <v>0.23230907884093652</v>
      </c>
      <c r="N328" s="26">
        <v>1</v>
      </c>
    </row>
    <row r="329" spans="1:14" x14ac:dyDescent="0.25">
      <c r="A329" t="s">
        <v>231</v>
      </c>
      <c r="B329">
        <v>2.3965099E-2</v>
      </c>
      <c r="C329" s="26">
        <v>1</v>
      </c>
      <c r="D329">
        <v>0.22677245500000001</v>
      </c>
      <c r="E329">
        <v>1.145</v>
      </c>
      <c r="F329" s="22">
        <v>0.76945200000000002</v>
      </c>
      <c r="G329">
        <v>4.5538599999999999E-2</v>
      </c>
      <c r="H329">
        <v>-13.6365</v>
      </c>
      <c r="K329">
        <f t="shared" si="15"/>
        <v>10.079497902044062</v>
      </c>
      <c r="L329" s="22">
        <f t="shared" si="16"/>
        <v>7.7556898197236088E-2</v>
      </c>
      <c r="M329">
        <f t="shared" si="17"/>
        <v>0.23267069459170825</v>
      </c>
      <c r="N329" s="26">
        <v>1</v>
      </c>
    </row>
    <row r="330" spans="1:14" x14ac:dyDescent="0.25">
      <c r="A330" t="s">
        <v>232</v>
      </c>
      <c r="B330">
        <v>2.3965099E-2</v>
      </c>
      <c r="C330" s="26">
        <v>1</v>
      </c>
      <c r="D330">
        <v>0.26456786399999999</v>
      </c>
      <c r="E330">
        <v>1.145</v>
      </c>
      <c r="F330" s="22">
        <v>0.76870300000000003</v>
      </c>
      <c r="G330">
        <v>6.2079599999999999E-2</v>
      </c>
      <c r="H330">
        <v>-15.9092</v>
      </c>
      <c r="K330">
        <f t="shared" si="15"/>
        <v>10.105091288687943</v>
      </c>
      <c r="L330" s="22">
        <f t="shared" si="16"/>
        <v>7.7678139888882877E-2</v>
      </c>
      <c r="M330">
        <f t="shared" si="17"/>
        <v>0.23303441966664862</v>
      </c>
      <c r="N330" s="26">
        <v>1</v>
      </c>
    </row>
    <row r="331" spans="1:14" x14ac:dyDescent="0.25">
      <c r="A331" t="s">
        <v>233</v>
      </c>
      <c r="B331">
        <v>2.3965099E-2</v>
      </c>
      <c r="C331" s="26">
        <v>1</v>
      </c>
      <c r="D331">
        <v>0.30236327299999999</v>
      </c>
      <c r="E331">
        <v>1.145</v>
      </c>
      <c r="F331" s="22">
        <v>0.76799499999999998</v>
      </c>
      <c r="G331">
        <v>8.1173700000000001E-2</v>
      </c>
      <c r="H331">
        <v>-18.181999999999999</v>
      </c>
      <c r="K331">
        <f t="shared" si="15"/>
        <v>10.125587548284672</v>
      </c>
      <c r="L331" s="22">
        <f t="shared" si="16"/>
        <v>7.7764006091448859E-2</v>
      </c>
      <c r="M331">
        <f t="shared" si="17"/>
        <v>0.23329201827434659</v>
      </c>
      <c r="N331" s="26">
        <v>1</v>
      </c>
    </row>
    <row r="332" spans="1:14" x14ac:dyDescent="0.25">
      <c r="A332" t="s">
        <v>234</v>
      </c>
      <c r="B332">
        <v>2.3965099E-2</v>
      </c>
      <c r="C332" s="26">
        <v>1</v>
      </c>
      <c r="D332">
        <v>0.34015868199999999</v>
      </c>
      <c r="E332">
        <v>1.145</v>
      </c>
      <c r="F332" s="22">
        <v>0.76738399999999996</v>
      </c>
      <c r="G332">
        <v>0.10281800000000001</v>
      </c>
      <c r="H332">
        <v>-20.454799999999999</v>
      </c>
      <c r="K332">
        <f t="shared" si="15"/>
        <v>10.141741279640318</v>
      </c>
      <c r="L332" s="22">
        <f t="shared" si="16"/>
        <v>7.7826099901355056E-2</v>
      </c>
      <c r="M332">
        <f t="shared" si="17"/>
        <v>0.23347829970406517</v>
      </c>
      <c r="N332" s="26">
        <v>1</v>
      </c>
    </row>
    <row r="333" spans="1:14" x14ac:dyDescent="0.25">
      <c r="A333" t="s">
        <v>235</v>
      </c>
      <c r="B333">
        <v>2.3965099E-2</v>
      </c>
      <c r="C333" s="26">
        <v>1</v>
      </c>
      <c r="D333">
        <v>0.37795409099999999</v>
      </c>
      <c r="E333">
        <v>1.145</v>
      </c>
      <c r="F333" s="22">
        <v>0.76692499999999997</v>
      </c>
      <c r="G333">
        <v>0.12701399999999999</v>
      </c>
      <c r="H333">
        <v>-22.727499999999999</v>
      </c>
      <c r="K333">
        <f t="shared" si="15"/>
        <v>10.154112149897236</v>
      </c>
      <c r="L333" s="22">
        <f t="shared" si="16"/>
        <v>7.787442460559936E-2</v>
      </c>
      <c r="M333">
        <f t="shared" si="17"/>
        <v>0.23362327381679809</v>
      </c>
      <c r="N333" s="26">
        <v>1</v>
      </c>
    </row>
    <row r="334" spans="1:14" x14ac:dyDescent="0.25">
      <c r="A334" t="s">
        <v>236</v>
      </c>
      <c r="B334">
        <v>2.3965099E-2</v>
      </c>
      <c r="C334" s="26">
        <v>1</v>
      </c>
      <c r="D334">
        <v>0.41574949999999999</v>
      </c>
      <c r="E334">
        <v>1.145</v>
      </c>
      <c r="F334" s="22">
        <v>0.76655099999999998</v>
      </c>
      <c r="G334">
        <v>0.15376500000000001</v>
      </c>
      <c r="H334">
        <v>-25.000299999999999</v>
      </c>
      <c r="K334">
        <f t="shared" si="15"/>
        <v>10.164185630402013</v>
      </c>
      <c r="L334" s="22">
        <f t="shared" si="16"/>
        <v>7.7913666591702929E-2</v>
      </c>
      <c r="M334">
        <f t="shared" si="17"/>
        <v>0.23374099977510879</v>
      </c>
      <c r="N334" s="2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D33F-AC82-4095-93EF-1D112D74413F}">
  <dimension ref="A1:AA63"/>
  <sheetViews>
    <sheetView tabSelected="1" workbookViewId="0">
      <selection activeCell="O21" sqref="O21"/>
    </sheetView>
  </sheetViews>
  <sheetFormatPr defaultRowHeight="15" x14ac:dyDescent="0.25"/>
  <cols>
    <col min="1" max="1" width="22" customWidth="1"/>
    <col min="11" max="11" width="14.5703125" bestFit="1" customWidth="1"/>
    <col min="16" max="16" width="11.140625" bestFit="1" customWidth="1"/>
    <col min="17" max="17" width="23.5703125" bestFit="1" customWidth="1"/>
    <col min="18" max="27" width="12" bestFit="1" customWidth="1"/>
  </cols>
  <sheetData>
    <row r="1" spans="1:27" ht="33.75" x14ac:dyDescent="0.5">
      <c r="A1" s="1" t="s">
        <v>0</v>
      </c>
      <c r="P1" s="28" t="s">
        <v>1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x14ac:dyDescent="0.25">
      <c r="A2" t="s">
        <v>2</v>
      </c>
      <c r="P2" s="2" t="s">
        <v>3</v>
      </c>
      <c r="Q2" s="29" t="s">
        <v>4</v>
      </c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x14ac:dyDescent="0.25">
      <c r="A3" t="s">
        <v>5</v>
      </c>
      <c r="P3" s="3">
        <v>1.1679999999999999</v>
      </c>
      <c r="Q3" s="4" t="s">
        <v>6</v>
      </c>
      <c r="R3" s="5">
        <v>0.1</v>
      </c>
      <c r="S3" s="5">
        <v>0.2</v>
      </c>
      <c r="T3" s="5">
        <v>0.3</v>
      </c>
      <c r="U3" s="5">
        <v>0.4</v>
      </c>
      <c r="V3" s="5">
        <v>0.5</v>
      </c>
      <c r="W3" s="5">
        <v>0.6</v>
      </c>
      <c r="X3" s="5">
        <v>0.7</v>
      </c>
      <c r="Y3" s="5">
        <v>0.8</v>
      </c>
      <c r="Z3" s="5">
        <v>0.9</v>
      </c>
      <c r="AA3" s="5">
        <v>1</v>
      </c>
    </row>
    <row r="4" spans="1:27" x14ac:dyDescent="0.25">
      <c r="A4" t="s">
        <v>7</v>
      </c>
      <c r="B4">
        <v>5.5154114785687762E-3</v>
      </c>
      <c r="C4" t="s">
        <v>8</v>
      </c>
      <c r="Q4" s="6" cm="1">
        <f t="array" ref="Q4:Q7">TRANSPOSE(B26:E26)</f>
        <v>55</v>
      </c>
      <c r="R4">
        <v>4.8473370595514481E-3</v>
      </c>
      <c r="S4">
        <v>1.0174550348186526E-2</v>
      </c>
      <c r="T4">
        <v>1.7948151227302755E-2</v>
      </c>
      <c r="U4">
        <v>2.6706193022345951E-2</v>
      </c>
      <c r="V4">
        <v>3.5121967461066939E-2</v>
      </c>
      <c r="W4">
        <v>4.3336178755015255E-2</v>
      </c>
      <c r="X4">
        <v>5.1253382034212001E-2</v>
      </c>
      <c r="Y4">
        <v>5.9310263236033799E-2</v>
      </c>
      <c r="Z4">
        <v>6.8748221443561158E-2</v>
      </c>
      <c r="AA4">
        <v>7.8338891443054767E-2</v>
      </c>
    </row>
    <row r="5" spans="1:27" x14ac:dyDescent="0.25">
      <c r="A5" t="s">
        <v>9</v>
      </c>
      <c r="Q5" s="6">
        <v>63.333333333333336</v>
      </c>
      <c r="R5">
        <v>4.9071512697458847E-3</v>
      </c>
      <c r="S5">
        <v>1.0231555325233432E-2</v>
      </c>
      <c r="T5">
        <v>1.8020583584535607E-2</v>
      </c>
      <c r="U5">
        <v>2.6766258633926648E-2</v>
      </c>
      <c r="V5">
        <v>3.5167730387936975E-2</v>
      </c>
      <c r="W5">
        <v>4.3382138226247903E-2</v>
      </c>
      <c r="X5">
        <v>5.1302743138445794E-2</v>
      </c>
      <c r="Y5">
        <v>5.9333408050889408E-2</v>
      </c>
      <c r="Z5">
        <v>6.881575043492838E-2</v>
      </c>
      <c r="AA5">
        <v>7.8428198909271898E-2</v>
      </c>
    </row>
    <row r="6" spans="1:27" x14ac:dyDescent="0.25">
      <c r="A6" t="s">
        <v>10</v>
      </c>
      <c r="B6" t="s">
        <v>11</v>
      </c>
      <c r="Q6" s="6">
        <v>71.666666666666671</v>
      </c>
      <c r="R6">
        <v>4.9563452048979788E-3</v>
      </c>
      <c r="S6">
        <v>1.0277753606684427E-2</v>
      </c>
      <c r="T6">
        <v>1.8082644697986337E-2</v>
      </c>
      <c r="U6">
        <v>2.6820336344250819E-2</v>
      </c>
      <c r="V6">
        <v>3.5205786583301701E-2</v>
      </c>
      <c r="W6">
        <v>4.3422368090195271E-2</v>
      </c>
      <c r="X6">
        <v>5.1344341010156849E-2</v>
      </c>
      <c r="Y6">
        <v>5.9351525575281901E-2</v>
      </c>
      <c r="Z6">
        <v>6.8869743902044311E-2</v>
      </c>
      <c r="AA6">
        <v>7.8517963566813134E-2</v>
      </c>
    </row>
    <row r="7" spans="1:27" x14ac:dyDescent="0.25">
      <c r="Q7" s="6">
        <v>80</v>
      </c>
      <c r="R7">
        <v>4.997787194265235E-3</v>
      </c>
      <c r="S7">
        <v>1.0315339633455215E-2</v>
      </c>
      <c r="T7">
        <v>1.8136102888648913E-2</v>
      </c>
      <c r="U7">
        <v>2.6867284395712211E-2</v>
      </c>
      <c r="V7">
        <v>3.5236461312851054E-2</v>
      </c>
      <c r="W7">
        <v>4.3455475881884573E-2</v>
      </c>
      <c r="X7">
        <v>5.1382180777690481E-2</v>
      </c>
      <c r="Y7">
        <v>5.936675869957516E-2</v>
      </c>
      <c r="Z7">
        <v>6.8912514798223454E-2</v>
      </c>
      <c r="AA7">
        <v>7.8612871525202022E-2</v>
      </c>
    </row>
    <row r="9" spans="1:27" x14ac:dyDescent="0.25">
      <c r="P9" s="7"/>
      <c r="Q9" s="29" t="s">
        <v>12</v>
      </c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x14ac:dyDescent="0.25">
      <c r="P10" s="8">
        <v>1.1619999999999999</v>
      </c>
      <c r="Q10" s="4" t="s">
        <v>6</v>
      </c>
      <c r="R10" s="5">
        <v>0.1</v>
      </c>
      <c r="S10" s="5">
        <v>0.2</v>
      </c>
      <c r="T10" s="5">
        <v>0.3</v>
      </c>
      <c r="U10" s="5">
        <v>0.4</v>
      </c>
      <c r="V10" s="5">
        <v>0.5</v>
      </c>
      <c r="W10" s="5">
        <v>0.6</v>
      </c>
      <c r="X10" s="5">
        <v>0.7</v>
      </c>
      <c r="Y10" s="5">
        <v>0.8</v>
      </c>
      <c r="Z10" s="5">
        <v>0.9</v>
      </c>
      <c r="AA10" s="5">
        <v>1</v>
      </c>
    </row>
    <row r="11" spans="1:27" x14ac:dyDescent="0.25">
      <c r="Q11" s="6" cm="1">
        <f t="array" ref="Q11:Q14">TRANSPOSE(B31:E31)</f>
        <v>45</v>
      </c>
      <c r="R11">
        <v>4.7469485527055939E-3</v>
      </c>
      <c r="S11">
        <v>1.0083090936035459E-2</v>
      </c>
      <c r="T11">
        <v>1.784127761453197E-2</v>
      </c>
      <c r="U11">
        <v>2.6620913372657401E-2</v>
      </c>
      <c r="V11">
        <v>3.5057056456974857E-2</v>
      </c>
      <c r="W11">
        <v>4.3268981577904875E-2</v>
      </c>
      <c r="X11">
        <v>5.1188113482040311E-2</v>
      </c>
      <c r="Y11">
        <v>5.9285386943341289E-2</v>
      </c>
      <c r="Z11">
        <v>6.8638897406384125E-2</v>
      </c>
      <c r="AA11">
        <v>7.8225717832704322E-2</v>
      </c>
    </row>
    <row r="12" spans="1:27" x14ac:dyDescent="0.25">
      <c r="Q12" s="6">
        <v>51.666666666666664</v>
      </c>
      <c r="R12">
        <v>4.8158792590088303E-3</v>
      </c>
      <c r="S12">
        <v>1.0145630932695398E-2</v>
      </c>
      <c r="T12">
        <v>1.7913145749643228E-2</v>
      </c>
      <c r="U12">
        <v>2.6678004151172566E-2</v>
      </c>
      <c r="V12">
        <v>3.5100114482157427E-2</v>
      </c>
      <c r="W12">
        <v>4.3314378268316883E-2</v>
      </c>
      <c r="X12">
        <v>5.1231484620873305E-2</v>
      </c>
      <c r="Y12">
        <v>5.9300325965096434E-2</v>
      </c>
      <c r="Z12">
        <v>6.8711402420503623E-2</v>
      </c>
      <c r="AA12">
        <v>7.8299230268360775E-2</v>
      </c>
    </row>
    <row r="13" spans="1:27" x14ac:dyDescent="0.25">
      <c r="Q13" s="6">
        <v>58.333333333333329</v>
      </c>
      <c r="R13">
        <v>4.8706456465454351E-3</v>
      </c>
      <c r="S13">
        <v>1.0196760262343956E-2</v>
      </c>
      <c r="T13">
        <v>1.797539372499397E-2</v>
      </c>
      <c r="U13">
        <v>2.6728644081642064E-2</v>
      </c>
      <c r="V13">
        <v>3.5139555769667465E-2</v>
      </c>
      <c r="W13">
        <v>4.3353391165469414E-2</v>
      </c>
      <c r="X13">
        <v>5.1272116506187557E-2</v>
      </c>
      <c r="Y13">
        <v>5.9318313250437862E-2</v>
      </c>
      <c r="Z13">
        <v>6.877779186507238E-2</v>
      </c>
      <c r="AA13">
        <v>7.8371161306438522E-2</v>
      </c>
    </row>
    <row r="14" spans="1:27" x14ac:dyDescent="0.25">
      <c r="Q14" s="6">
        <v>65</v>
      </c>
      <c r="R14">
        <v>4.9156392590626336E-3</v>
      </c>
      <c r="S14">
        <v>1.0239616432301289E-2</v>
      </c>
      <c r="T14">
        <v>1.8031317752361532E-2</v>
      </c>
      <c r="U14">
        <v>2.6775441844267826E-2</v>
      </c>
      <c r="V14">
        <v>3.5174404893740026E-2</v>
      </c>
      <c r="W14">
        <v>4.3389393227898372E-2</v>
      </c>
      <c r="X14">
        <v>5.1309683396596688E-2</v>
      </c>
      <c r="Y14">
        <v>5.9336478516320915E-2</v>
      </c>
      <c r="Z14">
        <v>6.8826424176837916E-2</v>
      </c>
      <c r="AA14">
        <v>7.8441413444904753E-2</v>
      </c>
    </row>
    <row r="16" spans="1:27" x14ac:dyDescent="0.25">
      <c r="P16" s="7"/>
      <c r="Q16" s="29" t="s">
        <v>13</v>
      </c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x14ac:dyDescent="0.25">
      <c r="P17" s="9">
        <v>1.1559999999999999</v>
      </c>
      <c r="Q17" s="4" t="s">
        <v>6</v>
      </c>
      <c r="R17" s="5">
        <v>0.1</v>
      </c>
      <c r="S17" s="5">
        <v>0.2</v>
      </c>
      <c r="T17" s="5">
        <v>0.3</v>
      </c>
      <c r="U17" s="5">
        <v>0.4</v>
      </c>
      <c r="V17" s="5">
        <v>0.5</v>
      </c>
      <c r="W17" s="5">
        <v>0.6</v>
      </c>
      <c r="X17" s="5">
        <v>0.7</v>
      </c>
      <c r="Y17" s="5">
        <v>0.8</v>
      </c>
      <c r="Z17" s="5">
        <v>0.9</v>
      </c>
      <c r="AA17" s="5">
        <v>1</v>
      </c>
    </row>
    <row r="18" spans="1:27" x14ac:dyDescent="0.25">
      <c r="Q18" s="6" cm="1">
        <f t="array" ref="Q18:Q23">TRANSPOSE(B36:G36)</f>
        <v>35</v>
      </c>
      <c r="R18">
        <v>4.605076716732763E-3</v>
      </c>
      <c r="S18">
        <v>9.9570048384821502E-3</v>
      </c>
      <c r="T18">
        <v>1.7726659536610141E-2</v>
      </c>
      <c r="U18">
        <v>2.6529853059381651E-2</v>
      </c>
      <c r="V18">
        <v>3.4990153474237493E-2</v>
      </c>
      <c r="W18">
        <v>4.3181332347446442E-2</v>
      </c>
      <c r="X18">
        <v>5.1115936734708489E-2</v>
      </c>
      <c r="Y18">
        <v>5.9257439509839901E-2</v>
      </c>
      <c r="Z18">
        <v>6.8519983302411949E-2</v>
      </c>
      <c r="AA18">
        <v>7.8097483799290074E-2</v>
      </c>
    </row>
    <row r="19" spans="1:27" x14ac:dyDescent="0.25">
      <c r="Q19" s="6">
        <v>39</v>
      </c>
      <c r="R19">
        <v>4.6670448810924702E-3</v>
      </c>
      <c r="S19">
        <v>1.001068887248786E-2</v>
      </c>
      <c r="T19">
        <v>1.7771264994188695E-2</v>
      </c>
      <c r="U19">
        <v>2.656550670375234E-2</v>
      </c>
      <c r="V19">
        <v>3.5017014914958136E-2</v>
      </c>
      <c r="W19">
        <v>4.3218160007440526E-2</v>
      </c>
      <c r="X19">
        <v>5.1143369471544069E-2</v>
      </c>
      <c r="Y19">
        <v>5.9269859334225912E-2</v>
      </c>
      <c r="Z19">
        <v>6.8569178732476116E-2</v>
      </c>
      <c r="AA19">
        <v>7.8150620656602443E-2</v>
      </c>
    </row>
    <row r="20" spans="1:27" x14ac:dyDescent="0.25">
      <c r="Q20" s="6">
        <v>43</v>
      </c>
      <c r="R20">
        <v>4.7202765024974185E-3</v>
      </c>
      <c r="S20">
        <v>1.0059319209902384E-2</v>
      </c>
      <c r="T20">
        <v>1.7816374843887588E-2</v>
      </c>
      <c r="U20">
        <v>2.6601438294888979E-2</v>
      </c>
      <c r="V20">
        <v>3.5042891132512917E-2</v>
      </c>
      <c r="W20">
        <v>4.3251713615121465E-2</v>
      </c>
      <c r="X20">
        <v>5.117230783043334E-2</v>
      </c>
      <c r="Y20">
        <v>5.9281145348220467E-2</v>
      </c>
      <c r="Z20">
        <v>6.8614104678917112E-2</v>
      </c>
      <c r="AA20">
        <v>7.819877927022334E-2</v>
      </c>
    </row>
    <row r="21" spans="1:27" x14ac:dyDescent="0.25">
      <c r="Q21" s="6">
        <v>47</v>
      </c>
      <c r="R21">
        <v>4.7667758922417761E-3</v>
      </c>
      <c r="S21">
        <v>1.0100793174112685E-2</v>
      </c>
      <c r="T21">
        <v>1.7860712751631341E-2</v>
      </c>
      <c r="U21">
        <v>2.6636475111346525E-2</v>
      </c>
      <c r="V21">
        <v>3.5068374422855049E-2</v>
      </c>
      <c r="W21">
        <v>4.328146757371993E-2</v>
      </c>
      <c r="X21">
        <v>5.1200255492824517E-2</v>
      </c>
      <c r="Y21">
        <v>5.9290588067841543E-2</v>
      </c>
      <c r="Z21">
        <v>6.8658686506948827E-2</v>
      </c>
      <c r="AA21">
        <v>7.8244911887892274E-2</v>
      </c>
    </row>
    <row r="22" spans="1:27" x14ac:dyDescent="0.25">
      <c r="Q22" s="6">
        <v>51</v>
      </c>
      <c r="R22">
        <v>4.8070380556778335E-3</v>
      </c>
      <c r="S22">
        <v>1.013767306578647E-2</v>
      </c>
      <c r="T22">
        <v>1.7903433092888537E-2</v>
      </c>
      <c r="U22">
        <v>2.6670498747849079E-2</v>
      </c>
      <c r="V22">
        <v>3.5094272159517333E-2</v>
      </c>
      <c r="W22">
        <v>4.33084461697614E-2</v>
      </c>
      <c r="X22">
        <v>5.1225948990417727E-2</v>
      </c>
      <c r="Y22">
        <v>5.9298902690496251E-2</v>
      </c>
      <c r="Z22">
        <v>6.8700726243447682E-2</v>
      </c>
      <c r="AA22">
        <v>7.8288029588913718E-2</v>
      </c>
    </row>
    <row r="23" spans="1:27" x14ac:dyDescent="0.25">
      <c r="Q23" s="6">
        <v>55</v>
      </c>
      <c r="R23">
        <v>4.8426145324709895E-3</v>
      </c>
      <c r="S23">
        <v>1.0170248523114732E-2</v>
      </c>
      <c r="T23">
        <v>1.7942940946645197E-2</v>
      </c>
      <c r="U23">
        <v>2.6701890066325805E-2</v>
      </c>
      <c r="V23">
        <v>3.5118544485654025E-2</v>
      </c>
      <c r="W23">
        <v>4.3332995128645635E-2</v>
      </c>
      <c r="X23">
        <v>5.1249843290567462E-2</v>
      </c>
      <c r="Y23">
        <v>5.930895995563485E-2</v>
      </c>
      <c r="Z23">
        <v>6.8742854911302637E-2</v>
      </c>
      <c r="AA23">
        <v>7.8332498621871749E-2</v>
      </c>
    </row>
    <row r="25" spans="1:27" x14ac:dyDescent="0.25">
      <c r="A25" s="10" t="str">
        <f>'[1]MASS FLOW RATE AIRBRAKE'!N8</f>
        <v>Run 1 Output Table</v>
      </c>
      <c r="K25" t="s">
        <v>14</v>
      </c>
      <c r="P25" s="7"/>
      <c r="Q25" s="29" t="s">
        <v>15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t="str">
        <f>'[1]MASS FLOW RATE AIRBRAKE'!N9</f>
        <v>Flow Velocities (m/s)</v>
      </c>
      <c r="B26">
        <f>'[1]MASS FLOW RATE AIRBRAKE'!O9</f>
        <v>55</v>
      </c>
      <c r="C26">
        <f>'[1]MASS FLOW RATE AIRBRAKE'!P9</f>
        <v>63.333333333333336</v>
      </c>
      <c r="D26">
        <f>'[1]MASS FLOW RATE AIRBRAKE'!Q9</f>
        <v>71.666666666666671</v>
      </c>
      <c r="E26">
        <f>'[1]MASS FLOW RATE AIRBRAKE'!R9</f>
        <v>80</v>
      </c>
      <c r="K26">
        <f>'[1]Area Calcs'!L12</f>
        <v>3.6</v>
      </c>
      <c r="P26" s="11">
        <v>1.1499999999999999</v>
      </c>
      <c r="Q26" s="4" t="s">
        <v>6</v>
      </c>
      <c r="R26" s="5">
        <v>0.1</v>
      </c>
      <c r="S26" s="5">
        <v>0.2</v>
      </c>
      <c r="T26" s="5">
        <v>0.3</v>
      </c>
      <c r="U26" s="5">
        <v>0.4</v>
      </c>
      <c r="V26" s="5">
        <v>0.5</v>
      </c>
      <c r="W26" s="5">
        <v>0.6</v>
      </c>
      <c r="X26" s="5">
        <v>0.7</v>
      </c>
      <c r="Y26" s="5">
        <v>0.8</v>
      </c>
      <c r="Z26" s="5">
        <v>0.9</v>
      </c>
      <c r="AA26" s="5">
        <v>1</v>
      </c>
    </row>
    <row r="27" spans="1:27" x14ac:dyDescent="0.25">
      <c r="A27" t="str">
        <f>'[1]MASS FLOW RATE AIRBRAKE'!N10</f>
        <v>Mass Flow Rate (kg/s)</v>
      </c>
      <c r="B27" s="12">
        <f>'[1]MASS FLOW RATE AIRBRAKE'!O10</f>
        <v>0.93302176000000003</v>
      </c>
      <c r="C27" s="12">
        <f>'[1]MASS FLOW RATE AIRBRAKE'!P10</f>
        <v>1.0743886933333333</v>
      </c>
      <c r="D27" s="12">
        <f>'[1]MASS FLOW RATE AIRBRAKE'!Q10</f>
        <v>1.2157556266666667</v>
      </c>
      <c r="E27" s="12">
        <f>'[1]MASS FLOW RATE AIRBRAKE'!R10</f>
        <v>1.3571225600000001</v>
      </c>
      <c r="K27">
        <f>'[1]Area Calcs'!L10</f>
        <v>5.707711839530333</v>
      </c>
      <c r="Q27" s="6" cm="1">
        <f t="array" ref="Q27:Q34">TRANSPOSE(B41:I41)</f>
        <v>15</v>
      </c>
      <c r="R27">
        <v>3.9208433325203804E-3</v>
      </c>
      <c r="S27">
        <v>9.4705060046369714E-3</v>
      </c>
      <c r="T27">
        <v>1.7567824435019547E-2</v>
      </c>
      <c r="U27">
        <v>2.6389434643666863E-2</v>
      </c>
      <c r="V27">
        <v>3.485480584312594E-2</v>
      </c>
      <c r="W27">
        <v>4.3049564325534466E-2</v>
      </c>
      <c r="X27">
        <v>5.0995291840465605E-2</v>
      </c>
      <c r="Y27">
        <v>5.9252833594359712E-2</v>
      </c>
      <c r="Z27">
        <v>6.824962034175025E-2</v>
      </c>
      <c r="AA27">
        <v>7.7636279993767751E-2</v>
      </c>
    </row>
    <row r="28" spans="1:27" x14ac:dyDescent="0.25">
      <c r="A28" t="str">
        <f>'[1]MASS FLOW RATE AIRBRAKE'!N11</f>
        <v>Drag Coeffient</v>
      </c>
      <c r="B28" s="13"/>
      <c r="C28" s="13"/>
      <c r="D28" s="13"/>
      <c r="E28" s="13"/>
      <c r="K28">
        <f>'[1]Area Calcs'!L9</f>
        <v>7.9898852739726003</v>
      </c>
      <c r="Q28" s="6">
        <v>19.285714285714285</v>
      </c>
      <c r="R28">
        <v>4.1118790426147179E-3</v>
      </c>
      <c r="S28">
        <v>9.629300008404373E-3</v>
      </c>
      <c r="T28">
        <v>1.7590741419062927E-2</v>
      </c>
      <c r="U28">
        <v>2.6424515788726805E-2</v>
      </c>
      <c r="V28">
        <v>3.4883494172859991E-2</v>
      </c>
      <c r="W28">
        <v>4.3058895861313423E-2</v>
      </c>
      <c r="X28">
        <v>5.1018202782266799E-2</v>
      </c>
      <c r="Y28">
        <v>5.9242774719896384E-2</v>
      </c>
      <c r="Z28">
        <v>6.8310107773147027E-2</v>
      </c>
      <c r="AA28">
        <v>7.7800474521896007E-2</v>
      </c>
    </row>
    <row r="29" spans="1:27" x14ac:dyDescent="0.25">
      <c r="K29">
        <f>'[1]Area Calcs'!L8</f>
        <v>10.272058708414871</v>
      </c>
      <c r="Q29" s="6">
        <v>23.571428571428569</v>
      </c>
      <c r="R29">
        <v>4.3373318201464809E-3</v>
      </c>
      <c r="S29">
        <v>9.7424505091916243E-3</v>
      </c>
      <c r="T29">
        <v>1.7619041404913105E-2</v>
      </c>
      <c r="U29">
        <v>2.6447318265701965E-2</v>
      </c>
      <c r="V29">
        <v>3.4913127401018935E-2</v>
      </c>
      <c r="W29">
        <v>4.3078383996160687E-2</v>
      </c>
      <c r="X29">
        <v>5.1041777791943806E-2</v>
      </c>
      <c r="Y29">
        <v>5.9236544832873154E-2</v>
      </c>
      <c r="Z29">
        <v>6.83535700555222E-2</v>
      </c>
      <c r="AA29">
        <v>7.7890551622071674E-2</v>
      </c>
    </row>
    <row r="30" spans="1:27" x14ac:dyDescent="0.25">
      <c r="A30" s="10" t="str">
        <f>'[1]MASS FLOW RATE AIRBRAKE'!N13</f>
        <v>Run 2 Output Table</v>
      </c>
      <c r="K30">
        <f>'[1]Area Calcs'!L7</f>
        <v>12.554232142857144</v>
      </c>
      <c r="Q30" s="6">
        <v>27.857142857142854</v>
      </c>
      <c r="R30">
        <v>4.4560888509099974E-3</v>
      </c>
      <c r="S30">
        <v>9.8317348953990604E-3</v>
      </c>
      <c r="T30">
        <v>1.7654594220269101E-2</v>
      </c>
      <c r="U30">
        <v>2.6471123806805451E-2</v>
      </c>
      <c r="V30">
        <v>3.4942442523567013E-2</v>
      </c>
      <c r="W30">
        <v>4.3113164487198409E-2</v>
      </c>
      <c r="X30">
        <v>5.1068535978865771E-2</v>
      </c>
      <c r="Y30">
        <v>5.9241695872368459E-2</v>
      </c>
      <c r="Z30">
        <v>6.8410343796648246E-2</v>
      </c>
      <c r="AA30">
        <v>7.7962559354011141E-2</v>
      </c>
    </row>
    <row r="31" spans="1:27" x14ac:dyDescent="0.25">
      <c r="A31" t="str">
        <f>'[1]MASS FLOW RATE AIRBRAKE'!N14</f>
        <v>Flow Velocities (m/s)</v>
      </c>
      <c r="B31">
        <f>'[1]MASS FLOW RATE AIRBRAKE'!O14</f>
        <v>45</v>
      </c>
      <c r="C31">
        <f>'[1]MASS FLOW RATE AIRBRAKE'!P14</f>
        <v>51.666666666666664</v>
      </c>
      <c r="D31">
        <f>'[1]MASS FLOW RATE AIRBRAKE'!Q14</f>
        <v>58.333333333333329</v>
      </c>
      <c r="E31">
        <f>'[1]MASS FLOW RATE AIRBRAKE'!R14</f>
        <v>65</v>
      </c>
      <c r="K31">
        <f>'[1]Area Calcs'!L6</f>
        <v>14.836405577299409</v>
      </c>
      <c r="Q31" s="6">
        <v>32.142857142857139</v>
      </c>
      <c r="R31">
        <v>4.5497735776289473E-3</v>
      </c>
      <c r="S31">
        <v>9.91089977262E-3</v>
      </c>
      <c r="T31">
        <v>1.7694916931391767E-2</v>
      </c>
      <c r="U31">
        <v>2.6503432882816324E-2</v>
      </c>
      <c r="V31">
        <v>3.4969828469835304E-2</v>
      </c>
      <c r="W31">
        <v>4.31523343485848E-2</v>
      </c>
      <c r="X31">
        <v>5.1097095567323642E-2</v>
      </c>
      <c r="Y31">
        <v>5.925030300273422E-2</v>
      </c>
      <c r="Z31">
        <v>6.8474734772724283E-2</v>
      </c>
      <c r="AA31">
        <v>7.8041592099238055E-2</v>
      </c>
    </row>
    <row r="32" spans="1:27" x14ac:dyDescent="0.25">
      <c r="A32" t="str">
        <f>'[1]MASS FLOW RATE AIRBRAKE'!N15</f>
        <v>Mass Flow Rate (kg/s)</v>
      </c>
      <c r="B32" s="12">
        <f>'[1]MASS FLOW RATE AIRBRAKE'!O15</f>
        <v>0.75945996000000004</v>
      </c>
      <c r="C32" s="12">
        <f>'[1]MASS FLOW RATE AIRBRAKE'!P15</f>
        <v>0.87197254666666657</v>
      </c>
      <c r="D32" s="12">
        <f>'[1]MASS FLOW RATE AIRBRAKE'!Q15</f>
        <v>0.9844851333333331</v>
      </c>
      <c r="E32" s="12">
        <f>'[1]MASS FLOW RATE AIRBRAKE'!R15</f>
        <v>1.0969977200000001</v>
      </c>
      <c r="K32">
        <f>'[1]Area Calcs'!L5</f>
        <v>17.11857901174168</v>
      </c>
      <c r="Q32" s="6">
        <v>36.428571428571423</v>
      </c>
      <c r="R32">
        <v>4.6254754660330589E-3</v>
      </c>
      <c r="S32">
        <v>9.9743113156364801E-3</v>
      </c>
      <c r="T32">
        <v>1.774037472237254E-2</v>
      </c>
      <c r="U32">
        <v>2.6541062336611944E-2</v>
      </c>
      <c r="V32">
        <v>3.49984093206352E-2</v>
      </c>
      <c r="W32">
        <v>4.319296409910893E-2</v>
      </c>
      <c r="X32">
        <v>5.1124964278005607E-2</v>
      </c>
      <c r="Y32">
        <v>5.9261305593224692E-2</v>
      </c>
      <c r="Z32">
        <v>6.8536017122537596E-2</v>
      </c>
      <c r="AA32">
        <v>7.8116052326471799E-2</v>
      </c>
    </row>
    <row r="33" spans="1:27" x14ac:dyDescent="0.25">
      <c r="A33" t="str">
        <f>'[1]MASS FLOW RATE AIRBRAKE'!N16</f>
        <v>Drag Coeffient</v>
      </c>
      <c r="B33" s="13"/>
      <c r="C33" s="13"/>
      <c r="D33" s="13"/>
      <c r="E33" s="13"/>
      <c r="K33">
        <f>'[1]Area Calcs'!L4</f>
        <v>19.400752446183951</v>
      </c>
      <c r="Q33" s="6">
        <v>40.714285714285708</v>
      </c>
      <c r="R33">
        <v>4.6879542314175841E-3</v>
      </c>
      <c r="S33">
        <v>1.0029765410719638E-2</v>
      </c>
      <c r="T33">
        <v>1.7788181677860948E-2</v>
      </c>
      <c r="U33">
        <v>2.6578909036005863E-2</v>
      </c>
      <c r="V33">
        <v>3.5026790722881215E-2</v>
      </c>
      <c r="W33">
        <v>4.3231385895356994E-2</v>
      </c>
      <c r="X33">
        <v>5.1153890449494581E-2</v>
      </c>
      <c r="Y33">
        <v>5.927250790147888E-2</v>
      </c>
      <c r="Z33">
        <v>6.8586443927729696E-2</v>
      </c>
      <c r="AA33">
        <v>7.8168014141439618E-2</v>
      </c>
    </row>
    <row r="34" spans="1:27" x14ac:dyDescent="0.25">
      <c r="K34">
        <f>'[1]Area Calcs'!L3</f>
        <v>21.682925880626218</v>
      </c>
      <c r="Q34" s="6">
        <v>44.999999999999993</v>
      </c>
      <c r="R34">
        <v>4.7415319719959241E-3</v>
      </c>
      <c r="S34">
        <v>1.0078172809059876E-2</v>
      </c>
      <c r="T34">
        <v>1.7836080233430553E-2</v>
      </c>
      <c r="U34">
        <v>2.6616862240149333E-2</v>
      </c>
      <c r="V34">
        <v>3.5054148625027745E-2</v>
      </c>
      <c r="W34">
        <v>4.3265655929367403E-2</v>
      </c>
      <c r="X34">
        <v>5.1184740396981655E-2</v>
      </c>
      <c r="Y34">
        <v>5.9284136709605507E-2</v>
      </c>
      <c r="Z34">
        <v>6.8634037708992693E-2</v>
      </c>
      <c r="AA34">
        <v>7.821937179098308E-2</v>
      </c>
    </row>
    <row r="35" spans="1:27" x14ac:dyDescent="0.25">
      <c r="A35" s="10" t="str">
        <f>'[1]MASS FLOW RATE AIRBRAKE'!N18</f>
        <v>Run 3 Output Table</v>
      </c>
      <c r="K35">
        <f>'[1]Area Calcs'!L2</f>
        <v>23.965099315068489</v>
      </c>
    </row>
    <row r="36" spans="1:27" x14ac:dyDescent="0.25">
      <c r="A36" t="str">
        <f>'[1]MASS FLOW RATE AIRBRAKE'!N19</f>
        <v>Flow Velocities (m/s)</v>
      </c>
      <c r="B36">
        <f>'[1]MASS FLOW RATE AIRBRAKE'!O19</f>
        <v>35</v>
      </c>
      <c r="C36">
        <f>'[1]MASS FLOW RATE AIRBRAKE'!P19</f>
        <v>39</v>
      </c>
      <c r="D36">
        <f>'[1]MASS FLOW RATE AIRBRAKE'!Q19</f>
        <v>43</v>
      </c>
      <c r="E36">
        <f>'[1]MASS FLOW RATE AIRBRAKE'!R19</f>
        <v>47</v>
      </c>
      <c r="F36">
        <f>'[1]MASS FLOW RATE AIRBRAKE'!S19</f>
        <v>51</v>
      </c>
      <c r="G36">
        <f>'[1]MASS FLOW RATE AIRBRAKE'!T19</f>
        <v>55</v>
      </c>
      <c r="P36" s="7"/>
      <c r="Q36" s="2" t="s">
        <v>16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x14ac:dyDescent="0.25">
      <c r="A37" t="str">
        <f>'[1]MASS FLOW RATE AIRBRAKE'!N20</f>
        <v>Mass Flow Rate (kg/s)</v>
      </c>
      <c r="B37" s="12">
        <f>'[1]MASS FLOW RATE AIRBRAKE'!O20</f>
        <v>0.58764103999999995</v>
      </c>
      <c r="C37" s="12">
        <f>'[1]MASS FLOW RATE AIRBRAKE'!P20</f>
        <v>0.65480001599999993</v>
      </c>
      <c r="D37" s="12">
        <f>'[1]MASS FLOW RATE AIRBRAKE'!Q20</f>
        <v>0.72195899200000002</v>
      </c>
      <c r="E37" s="12">
        <f>'[1]MASS FLOW RATE AIRBRAKE'!R20</f>
        <v>0.78911796799999989</v>
      </c>
      <c r="F37" s="12">
        <f>'[1]MASS FLOW RATE AIRBRAKE'!S20</f>
        <v>0.85627694399999998</v>
      </c>
      <c r="G37" s="12">
        <f>'[1]MASS FLOW RATE AIRBRAKE'!T20</f>
        <v>0.92343591999999997</v>
      </c>
      <c r="P37" s="15">
        <v>1.145</v>
      </c>
      <c r="Q37" s="4" t="s">
        <v>6</v>
      </c>
      <c r="R37" s="5">
        <v>0.1</v>
      </c>
      <c r="S37" s="5">
        <v>0.2</v>
      </c>
      <c r="T37" s="5">
        <v>0.3</v>
      </c>
      <c r="U37" s="5">
        <v>0.4</v>
      </c>
      <c r="V37" s="5">
        <v>0.5</v>
      </c>
      <c r="W37" s="5">
        <v>0.6</v>
      </c>
      <c r="X37" s="5">
        <v>0.7</v>
      </c>
      <c r="Y37" s="5">
        <v>0.8</v>
      </c>
      <c r="Z37" s="5">
        <v>0.9</v>
      </c>
      <c r="AA37" s="5">
        <v>1</v>
      </c>
    </row>
    <row r="38" spans="1:27" x14ac:dyDescent="0.25">
      <c r="A38" t="str">
        <f>'[1]MASS FLOW RATE AIRBRAKE'!N21</f>
        <v>Drag Coeffient</v>
      </c>
      <c r="B38" s="13"/>
      <c r="C38" s="13"/>
      <c r="D38" s="13"/>
      <c r="E38" s="13"/>
      <c r="F38" s="13"/>
      <c r="G38" s="13"/>
      <c r="Q38" s="6" cm="1">
        <f t="array" ref="Q38:Q49">TRANSPOSE(B46:M46)</f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Q39" s="6">
        <v>2.2727272727272729</v>
      </c>
      <c r="R39">
        <v>2.8936809049480263E-3</v>
      </c>
      <c r="S39">
        <v>7.5954026817337894E-3</v>
      </c>
      <c r="T39">
        <v>1.6172502888579736E-2</v>
      </c>
      <c r="U39">
        <v>2.5637162325738937E-2</v>
      </c>
      <c r="V39">
        <v>3.4644825554230207E-2</v>
      </c>
      <c r="W39">
        <v>4.2751556903752208E-2</v>
      </c>
      <c r="X39">
        <v>5.0552438650585944E-2</v>
      </c>
      <c r="Y39">
        <v>5.8641571997707878E-2</v>
      </c>
      <c r="Z39">
        <v>6.6969903279891344E-2</v>
      </c>
      <c r="AA39">
        <v>7.5925263037834687E-2</v>
      </c>
    </row>
    <row r="40" spans="1:27" x14ac:dyDescent="0.25">
      <c r="A40" s="10" t="str">
        <f>'[1]MASS FLOW RATE AIRBRAKE'!N23</f>
        <v>Run 4 Output Table</v>
      </c>
      <c r="Q40" s="6">
        <v>4.5454545454545459</v>
      </c>
      <c r="R40">
        <v>3.1628425744478828E-3</v>
      </c>
      <c r="S40">
        <v>8.7224001495728575E-3</v>
      </c>
      <c r="T40">
        <v>1.7513763463950588E-2</v>
      </c>
      <c r="U40">
        <v>2.6385418685571833E-2</v>
      </c>
      <c r="V40">
        <v>3.4944753347248017E-2</v>
      </c>
      <c r="W40">
        <v>4.2955017703973829E-2</v>
      </c>
      <c r="X40">
        <v>5.0798200365446737E-2</v>
      </c>
      <c r="Y40">
        <v>5.9014174479080257E-2</v>
      </c>
      <c r="Z40">
        <v>6.7667166861673442E-2</v>
      </c>
      <c r="AA40">
        <v>7.6837684159251365E-2</v>
      </c>
    </row>
    <row r="41" spans="1:27" x14ac:dyDescent="0.25">
      <c r="A41" t="str">
        <f>'[1]MASS FLOW RATE AIRBRAKE'!N24</f>
        <v>Flow Velocities (m/s)</v>
      </c>
      <c r="B41">
        <f>'[1]MASS FLOW RATE AIRBRAKE'!O24</f>
        <v>15</v>
      </c>
      <c r="C41">
        <f>'[1]MASS FLOW RATE AIRBRAKE'!P24</f>
        <v>19.285714285714285</v>
      </c>
      <c r="D41">
        <f>'[1]MASS FLOW RATE AIRBRAKE'!Q24</f>
        <v>23.571428571428569</v>
      </c>
      <c r="E41">
        <f>'[1]MASS FLOW RATE AIRBRAKE'!R24</f>
        <v>27.857142857142854</v>
      </c>
      <c r="F41">
        <f>'[1]MASS FLOW RATE AIRBRAKE'!S24</f>
        <v>32.142857142857139</v>
      </c>
      <c r="G41">
        <f>'[1]MASS FLOW RATE AIRBRAKE'!T24</f>
        <v>36.428571428571423</v>
      </c>
      <c r="H41">
        <f>'[1]MASS FLOW RATE AIRBRAKE'!U24</f>
        <v>40.714285714285708</v>
      </c>
      <c r="I41">
        <f>'[1]MASS FLOW RATE AIRBRAKE'!V24</f>
        <v>44.999999999999993</v>
      </c>
      <c r="Q41" s="6">
        <v>6.8181818181818183</v>
      </c>
      <c r="R41">
        <v>3.3012251959462936E-3</v>
      </c>
      <c r="S41">
        <v>9.0153608244176488E-3</v>
      </c>
      <c r="T41">
        <v>1.7538551164606401E-2</v>
      </c>
      <c r="U41">
        <v>2.6389918208172443E-2</v>
      </c>
      <c r="V41">
        <v>3.4873951509722521E-2</v>
      </c>
      <c r="W41">
        <v>4.2959507390394391E-2</v>
      </c>
      <c r="X41">
        <v>5.0851538647843059E-2</v>
      </c>
      <c r="Y41">
        <v>5.9124010723064488E-2</v>
      </c>
      <c r="Z41">
        <v>6.7870830483713285E-2</v>
      </c>
      <c r="AA41">
        <v>7.7031991930637408E-2</v>
      </c>
    </row>
    <row r="42" spans="1:27" x14ac:dyDescent="0.25">
      <c r="A42" t="str">
        <f>'[1]MASS FLOW RATE AIRBRAKE'!N25</f>
        <v>Mass Flow Rate (kg/s)</v>
      </c>
      <c r="B42" s="12">
        <f>'[1]MASS FLOW RATE AIRBRAKE'!O25</f>
        <v>0.25053900000000001</v>
      </c>
      <c r="C42" s="12">
        <f>'[1]MASS FLOW RATE AIRBRAKE'!P25</f>
        <v>0.3221215714285714</v>
      </c>
      <c r="D42" s="12">
        <f>'[1]MASS FLOW RATE AIRBRAKE'!Q25</f>
        <v>0.39370414285714284</v>
      </c>
      <c r="E42" s="12">
        <f>'[1]MASS FLOW RATE AIRBRAKE'!R25</f>
        <v>0.46528671428571416</v>
      </c>
      <c r="F42" s="12">
        <f>'[1]MASS FLOW RATE AIRBRAKE'!S25</f>
        <v>0.5368692857142856</v>
      </c>
      <c r="G42" s="12">
        <f>'[1]MASS FLOW RATE AIRBRAKE'!T25</f>
        <v>0.60845185714285699</v>
      </c>
      <c r="H42" s="12">
        <f>'[1]MASS FLOW RATE AIRBRAKE'!U25</f>
        <v>0.68003442857142848</v>
      </c>
      <c r="I42" s="12">
        <f>'[1]MASS FLOW RATE AIRBRAKE'!V25</f>
        <v>0.75161699999999987</v>
      </c>
      <c r="Q42" s="6">
        <v>9.0909090909090917</v>
      </c>
      <c r="R42">
        <v>3.4400256752507947E-3</v>
      </c>
      <c r="S42">
        <v>9.1761611129505104E-3</v>
      </c>
      <c r="T42">
        <v>1.7548594110220472E-2</v>
      </c>
      <c r="U42">
        <v>2.6401103518648474E-2</v>
      </c>
      <c r="V42">
        <v>3.4878609267367251E-2</v>
      </c>
      <c r="W42">
        <v>4.3010043540105805E-2</v>
      </c>
      <c r="X42">
        <v>5.0924242428704518E-2</v>
      </c>
      <c r="Y42">
        <v>5.9201689755761719E-2</v>
      </c>
      <c r="Z42">
        <v>6.8031344640902394E-2</v>
      </c>
      <c r="AA42">
        <v>7.7260598245123727E-2</v>
      </c>
    </row>
    <row r="43" spans="1:27" x14ac:dyDescent="0.25">
      <c r="A43" t="str">
        <f>'[1]MASS FLOW RATE AIRBRAKE'!N26</f>
        <v>Drag Coeffient</v>
      </c>
      <c r="B43" s="16"/>
      <c r="C43" s="16"/>
      <c r="D43" s="16"/>
      <c r="E43" s="16"/>
      <c r="F43" s="16"/>
      <c r="G43" s="16"/>
      <c r="H43" s="16"/>
      <c r="I43" s="16"/>
      <c r="Q43" s="6">
        <v>11.363636363636365</v>
      </c>
      <c r="R43">
        <v>3.5853917887660623E-3</v>
      </c>
      <c r="S43">
        <v>9.2985875707543662E-3</v>
      </c>
      <c r="T43">
        <v>1.7550109481977025E-2</v>
      </c>
      <c r="U43">
        <v>2.6388291290179541E-2</v>
      </c>
      <c r="V43">
        <v>3.4861886081597536E-2</v>
      </c>
      <c r="W43">
        <v>4.3039465449055542E-2</v>
      </c>
      <c r="X43">
        <v>5.0960759714576365E-2</v>
      </c>
      <c r="Y43">
        <v>5.923987212720374E-2</v>
      </c>
      <c r="Z43">
        <v>6.8136521273494136E-2</v>
      </c>
      <c r="AA43">
        <v>7.7436359613645506E-2</v>
      </c>
    </row>
    <row r="44" spans="1:27" x14ac:dyDescent="0.25">
      <c r="Q44" s="6">
        <v>13.636363636363638</v>
      </c>
      <c r="R44">
        <v>3.8404447815220816E-3</v>
      </c>
      <c r="S44">
        <v>9.4075799144662051E-3</v>
      </c>
      <c r="T44">
        <v>1.7559666813928912E-2</v>
      </c>
      <c r="U44">
        <v>2.6383269952147046E-2</v>
      </c>
      <c r="V44">
        <v>3.4853309035568894E-2</v>
      </c>
      <c r="W44">
        <v>4.3046764291924673E-2</v>
      </c>
      <c r="X44">
        <v>5.0983562019100287E-2</v>
      </c>
      <c r="Y44">
        <v>5.9250931918896139E-2</v>
      </c>
      <c r="Z44">
        <v>6.8211294178502246E-2</v>
      </c>
      <c r="AA44">
        <v>7.7556898197236088E-2</v>
      </c>
    </row>
    <row r="45" spans="1:27" x14ac:dyDescent="0.25">
      <c r="A45" t="str">
        <f>'[1]MASS FLOW RATE AIRBRAKE'!N28</f>
        <v>Run 5 Output Table</v>
      </c>
      <c r="Q45" s="6">
        <v>15.909090909090912</v>
      </c>
      <c r="R45">
        <v>3.9634752719548963E-3</v>
      </c>
      <c r="S45">
        <v>9.5058791923780216E-3</v>
      </c>
      <c r="T45">
        <v>1.757194382569148E-2</v>
      </c>
      <c r="U45">
        <v>2.6396723546799162E-2</v>
      </c>
      <c r="V45">
        <v>3.4857413990788157E-2</v>
      </c>
      <c r="W45">
        <v>4.3052710755203963E-2</v>
      </c>
      <c r="X45">
        <v>5.1000757208051341E-2</v>
      </c>
      <c r="Y45">
        <v>5.925110970986093E-2</v>
      </c>
      <c r="Z45">
        <v>6.8268864114934241E-2</v>
      </c>
      <c r="AA45">
        <v>7.7678139888882877E-2</v>
      </c>
    </row>
    <row r="46" spans="1:27" x14ac:dyDescent="0.25">
      <c r="A46" t="str">
        <f>'[1]MASS FLOW RATE AIRBRAKE'!N29</f>
        <v>Flow Velocities (m/s)</v>
      </c>
      <c r="B46">
        <f>'[1]MASS FLOW RATE AIRBRAKE'!O29</f>
        <v>0</v>
      </c>
      <c r="C46">
        <f>'[1]MASS FLOW RATE AIRBRAKE'!P29</f>
        <v>2.2727272727272729</v>
      </c>
      <c r="D46">
        <f>'[1]MASS FLOW RATE AIRBRAKE'!Q29</f>
        <v>4.5454545454545459</v>
      </c>
      <c r="E46">
        <f>'[1]MASS FLOW RATE AIRBRAKE'!R29</f>
        <v>6.8181818181818183</v>
      </c>
      <c r="F46">
        <f>'[1]MASS FLOW RATE AIRBRAKE'!S29</f>
        <v>9.0909090909090917</v>
      </c>
      <c r="G46">
        <f>'[1]MASS FLOW RATE AIRBRAKE'!T29</f>
        <v>11.363636363636365</v>
      </c>
      <c r="H46">
        <f>'[1]MASS FLOW RATE AIRBRAKE'!U29</f>
        <v>13.636363636363638</v>
      </c>
      <c r="I46">
        <f>'[1]MASS FLOW RATE AIRBRAKE'!V29</f>
        <v>15.909090909090912</v>
      </c>
      <c r="J46">
        <f>'[1]MASS FLOW RATE AIRBRAKE'!W29</f>
        <v>18.181818181818183</v>
      </c>
      <c r="K46">
        <f>'[1]MASS FLOW RATE AIRBRAKE'!X29</f>
        <v>20.454545454545457</v>
      </c>
      <c r="L46">
        <f>'[1]MASS FLOW RATE AIRBRAKE'!Y29</f>
        <v>22.72727272727273</v>
      </c>
      <c r="M46">
        <f>'[1]MASS FLOW RATE AIRBRAKE'!Z29</f>
        <v>25.000000000000004</v>
      </c>
      <c r="Q46" s="6">
        <v>18.181818181818183</v>
      </c>
      <c r="R46">
        <v>4.0643037521146961E-3</v>
      </c>
      <c r="S46">
        <v>9.5914468477793433E-3</v>
      </c>
      <c r="T46">
        <v>1.7583616691195635E-2</v>
      </c>
      <c r="U46">
        <v>2.6416139828146893E-2</v>
      </c>
      <c r="V46">
        <v>3.4873895285628384E-2</v>
      </c>
      <c r="W46">
        <v>4.3056706152087842E-2</v>
      </c>
      <c r="X46">
        <v>5.1011609986477101E-2</v>
      </c>
      <c r="Y46">
        <v>5.9244619795687618E-2</v>
      </c>
      <c r="Z46">
        <v>6.8299876791219447E-2</v>
      </c>
      <c r="AA46">
        <v>7.7764006091448859E-2</v>
      </c>
    </row>
    <row r="47" spans="1:27" x14ac:dyDescent="0.25">
      <c r="A47" t="str">
        <f>'[1]MASS FLOW RATE AIRBRAKE'!N30</f>
        <v>Mass Flow Rate (kg/s)</v>
      </c>
      <c r="B47" s="12">
        <f>'[1]MASS FLOW RATE AIRBRAKE'!O30</f>
        <v>0</v>
      </c>
      <c r="C47" s="12">
        <f>'[1]MASS FLOW RATE AIRBRAKE'!P30</f>
        <v>3.7795409090909095E-2</v>
      </c>
      <c r="D47" s="12">
        <f>'[1]MASS FLOW RATE AIRBRAKE'!Q30</f>
        <v>7.559081818181819E-2</v>
      </c>
      <c r="E47" s="12">
        <f>'[1]MASS FLOW RATE AIRBRAKE'!R30</f>
        <v>0.11338622727272729</v>
      </c>
      <c r="F47" s="12">
        <f>'[1]MASS FLOW RATE AIRBRAKE'!S30</f>
        <v>0.15118163636363638</v>
      </c>
      <c r="G47" s="12">
        <f>'[1]MASS FLOW RATE AIRBRAKE'!T30</f>
        <v>0.18897704545454549</v>
      </c>
      <c r="H47" s="12">
        <f>'[1]MASS FLOW RATE AIRBRAKE'!U30</f>
        <v>0.22677245454545461</v>
      </c>
      <c r="I47" s="12">
        <f>'[1]MASS FLOW RATE AIRBRAKE'!V30</f>
        <v>0.2645678636363637</v>
      </c>
      <c r="J47" s="12">
        <f>'[1]MASS FLOW RATE AIRBRAKE'!W30</f>
        <v>0.30236327272727276</v>
      </c>
      <c r="K47" s="12">
        <f>'[1]MASS FLOW RATE AIRBRAKE'!X30</f>
        <v>0.34015868181818187</v>
      </c>
      <c r="L47" s="12">
        <f>'[1]MASS FLOW RATE AIRBRAKE'!Y30</f>
        <v>0.37795409090909099</v>
      </c>
      <c r="M47" s="12">
        <f>'[1]MASS FLOW RATE AIRBRAKE'!Z30</f>
        <v>0.41574950000000005</v>
      </c>
      <c r="Q47" s="6">
        <v>20.454545454545457</v>
      </c>
      <c r="R47">
        <v>4.1507732670161028E-3</v>
      </c>
      <c r="S47">
        <v>9.660782116467783E-3</v>
      </c>
      <c r="T47">
        <v>1.7598033047001339E-2</v>
      </c>
      <c r="U47">
        <v>2.6430505907093265E-2</v>
      </c>
      <c r="V47">
        <v>3.4891477183497659E-2</v>
      </c>
      <c r="W47">
        <v>4.3061862767201059E-2</v>
      </c>
      <c r="X47">
        <v>5.1023638252158977E-2</v>
      </c>
      <c r="Y47">
        <v>5.9240045221942664E-2</v>
      </c>
      <c r="Z47">
        <v>6.8317536547070568E-2</v>
      </c>
      <c r="AA47">
        <v>7.7826099901355056E-2</v>
      </c>
    </row>
    <row r="48" spans="1:27" x14ac:dyDescent="0.25">
      <c r="A48" t="str">
        <f>'[1]MASS FLOW RATE AIRBRAKE'!N31</f>
        <v>Drag Coeffient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Q48" s="6">
        <v>22.72727272727273</v>
      </c>
      <c r="R48">
        <v>4.3070221897886516E-3</v>
      </c>
      <c r="S48">
        <v>9.720023884893559E-3</v>
      </c>
      <c r="T48">
        <v>1.7612975610972543E-2</v>
      </c>
      <c r="U48">
        <v>2.6442749099785313E-2</v>
      </c>
      <c r="V48">
        <v>3.4906581461030144E-2</v>
      </c>
      <c r="W48">
        <v>4.3073176003686618E-2</v>
      </c>
      <c r="X48">
        <v>5.1036685688341965E-2</v>
      </c>
      <c r="Y48">
        <v>5.9236346550084584E-2</v>
      </c>
      <c r="Z48">
        <v>6.8341695411605591E-2</v>
      </c>
      <c r="AA48">
        <v>7.787442460559936E-2</v>
      </c>
    </row>
    <row r="49" spans="2:27" x14ac:dyDescent="0.25">
      <c r="Q49" s="6">
        <v>25.000000000000004</v>
      </c>
      <c r="R49">
        <v>4.3767754555272811E-3</v>
      </c>
      <c r="S49">
        <v>9.7718000274523049E-3</v>
      </c>
      <c r="T49">
        <v>1.7628609949762949E-2</v>
      </c>
      <c r="U49">
        <v>2.645385977684343E-2</v>
      </c>
      <c r="V49">
        <v>3.4922135142155281E-2</v>
      </c>
      <c r="W49">
        <v>4.3087400247513043E-2</v>
      </c>
      <c r="X49">
        <v>5.1048108092095805E-2</v>
      </c>
      <c r="Y49">
        <v>5.9236985702660692E-2</v>
      </c>
      <c r="Z49">
        <v>6.8369856815390206E-2</v>
      </c>
      <c r="AA49">
        <v>7.7913666591702929E-2</v>
      </c>
    </row>
    <row r="52" spans="2:27" x14ac:dyDescent="0.25">
      <c r="B52" s="14">
        <v>0.1</v>
      </c>
      <c r="C52" s="14">
        <v>0.2</v>
      </c>
      <c r="D52" s="14">
        <v>0.3</v>
      </c>
      <c r="E52" s="14">
        <v>0.4</v>
      </c>
      <c r="F52" s="14">
        <v>0.5</v>
      </c>
      <c r="G52" s="14">
        <v>0.6</v>
      </c>
      <c r="H52" s="14">
        <v>0.7</v>
      </c>
      <c r="I52" s="14">
        <v>0.8</v>
      </c>
      <c r="J52" s="14">
        <v>0.9</v>
      </c>
      <c r="K52" s="14">
        <v>1</v>
      </c>
    </row>
    <row r="53" spans="2:27" x14ac:dyDescent="0.25">
      <c r="B53" s="6" cm="1">
        <f t="array" ref="B53:K53">TRANSPOSE($K$26:$K$35)</f>
        <v>3.6</v>
      </c>
      <c r="C53" s="6">
        <v>5.707711839530333</v>
      </c>
      <c r="D53" s="6">
        <v>7.9898852739726003</v>
      </c>
      <c r="E53" s="6">
        <v>10.272058708414871</v>
      </c>
      <c r="F53" s="6">
        <v>12.554232142857144</v>
      </c>
      <c r="G53" s="6">
        <v>14.836405577299409</v>
      </c>
      <c r="H53" s="6">
        <v>17.11857901174168</v>
      </c>
      <c r="I53" s="6">
        <v>19.400752446183951</v>
      </c>
      <c r="J53" s="6">
        <v>21.682925880626218</v>
      </c>
      <c r="K53" s="6">
        <v>23.965099315068489</v>
      </c>
    </row>
    <row r="54" spans="2:27" x14ac:dyDescent="0.25">
      <c r="G54">
        <f t="shared" ref="G54:G63" si="0">K26/1000</f>
        <v>3.5999999999999999E-3</v>
      </c>
      <c r="H54">
        <v>0.93302176000000003</v>
      </c>
      <c r="I54">
        <v>1.1679999999999999</v>
      </c>
    </row>
    <row r="55" spans="2:27" x14ac:dyDescent="0.25">
      <c r="G55">
        <f t="shared" si="0"/>
        <v>5.7077118395303331E-3</v>
      </c>
      <c r="H55">
        <v>0.93302176000000003</v>
      </c>
      <c r="I55">
        <v>1.1679999999999999</v>
      </c>
    </row>
    <row r="56" spans="2:27" x14ac:dyDescent="0.25">
      <c r="G56">
        <f t="shared" si="0"/>
        <v>7.9898852739726002E-3</v>
      </c>
      <c r="H56">
        <v>0.93302176000000003</v>
      </c>
      <c r="I56">
        <v>1.1679999999999999</v>
      </c>
    </row>
    <row r="57" spans="2:27" x14ac:dyDescent="0.25">
      <c r="G57">
        <f t="shared" si="0"/>
        <v>1.0272058708414871E-2</v>
      </c>
      <c r="H57">
        <v>0.93302176000000003</v>
      </c>
      <c r="I57">
        <v>1.1679999999999999</v>
      </c>
    </row>
    <row r="58" spans="2:27" x14ac:dyDescent="0.25">
      <c r="G58">
        <f t="shared" si="0"/>
        <v>1.2554232142857143E-2</v>
      </c>
      <c r="H58">
        <v>0.93302176000000003</v>
      </c>
      <c r="I58">
        <v>1.1679999999999999</v>
      </c>
    </row>
    <row r="59" spans="2:27" x14ac:dyDescent="0.25">
      <c r="G59">
        <f t="shared" si="0"/>
        <v>1.483640557729941E-2</v>
      </c>
      <c r="H59">
        <v>0.93302176000000003</v>
      </c>
      <c r="I59">
        <v>1.1679999999999999</v>
      </c>
    </row>
    <row r="60" spans="2:27" x14ac:dyDescent="0.25">
      <c r="G60">
        <f t="shared" si="0"/>
        <v>1.7118579011741679E-2</v>
      </c>
      <c r="H60">
        <v>0.93302176000000003</v>
      </c>
      <c r="I60">
        <v>1.1679999999999999</v>
      </c>
    </row>
    <row r="61" spans="2:27" x14ac:dyDescent="0.25">
      <c r="G61">
        <f t="shared" si="0"/>
        <v>1.9400752446183951E-2</v>
      </c>
      <c r="H61">
        <v>0.93302176000000003</v>
      </c>
      <c r="I61">
        <v>1.1679999999999999</v>
      </c>
    </row>
    <row r="62" spans="2:27" x14ac:dyDescent="0.25">
      <c r="G62">
        <f t="shared" si="0"/>
        <v>2.1682925880626217E-2</v>
      </c>
      <c r="H62">
        <v>0.93302176000000003</v>
      </c>
      <c r="I62">
        <v>1.1679999999999999</v>
      </c>
    </row>
    <row r="63" spans="2:27" x14ac:dyDescent="0.25">
      <c r="G63">
        <f t="shared" si="0"/>
        <v>2.3965099315068489E-2</v>
      </c>
      <c r="H63">
        <v>0.93302176000000003</v>
      </c>
      <c r="I63">
        <v>1.1679999999999999</v>
      </c>
    </row>
  </sheetData>
  <mergeCells count="5">
    <mergeCell ref="P1:AA1"/>
    <mergeCell ref="Q2:AA2"/>
    <mergeCell ref="Q9:AA9"/>
    <mergeCell ref="Q16:AA16"/>
    <mergeCell ref="Q25:AA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D92F-350A-4938-B1D7-A361DD8968B6}">
  <dimension ref="A1:H140"/>
  <sheetViews>
    <sheetView workbookViewId="0">
      <selection activeCell="P10" sqref="P10"/>
    </sheetView>
  </sheetViews>
  <sheetFormatPr defaultRowHeight="15" x14ac:dyDescent="0.25"/>
  <cols>
    <col min="1" max="1" width="17.42578125" bestFit="1" customWidth="1"/>
    <col min="2" max="2" width="13.28515625" bestFit="1" customWidth="1"/>
    <col min="3" max="3" width="21.140625" bestFit="1" customWidth="1"/>
    <col min="4" max="4" width="15.42578125" bestFit="1" customWidth="1"/>
  </cols>
  <sheetData>
    <row r="1" spans="1:8" x14ac:dyDescent="0.25">
      <c r="A1" s="17" t="s">
        <v>17</v>
      </c>
      <c r="B1" s="17" t="s">
        <v>18</v>
      </c>
      <c r="C1" s="17" t="s">
        <v>19</v>
      </c>
      <c r="D1" s="17" t="s">
        <v>20</v>
      </c>
    </row>
    <row r="2" spans="1:8" x14ac:dyDescent="0.25">
      <c r="A2" s="18">
        <v>249.18799999999999</v>
      </c>
      <c r="B2" s="18">
        <f>A2+$G$3</f>
        <v>289.18799999999999</v>
      </c>
      <c r="C2" s="19">
        <v>75.936000000000007</v>
      </c>
      <c r="D2" s="19">
        <v>0.66300000000000003</v>
      </c>
      <c r="G2" t="s">
        <v>21</v>
      </c>
    </row>
    <row r="3" spans="1:8" x14ac:dyDescent="0.25">
      <c r="A3" s="18">
        <v>252.96700000000001</v>
      </c>
      <c r="B3" s="18">
        <f t="shared" ref="B3:B66" si="0">A3+$G$3</f>
        <v>292.96699999999998</v>
      </c>
      <c r="C3" s="19">
        <v>75.192999999999998</v>
      </c>
      <c r="D3" s="19">
        <v>0.66300000000000003</v>
      </c>
      <c r="G3">
        <v>40</v>
      </c>
      <c r="H3" t="s">
        <v>22</v>
      </c>
    </row>
    <row r="4" spans="1:8" x14ac:dyDescent="0.25">
      <c r="A4" s="18">
        <v>256.70800000000003</v>
      </c>
      <c r="B4" s="18">
        <f t="shared" si="0"/>
        <v>296.70800000000003</v>
      </c>
      <c r="C4" s="19">
        <v>74.453000000000003</v>
      </c>
      <c r="D4" s="19">
        <v>0.66300000000000003</v>
      </c>
    </row>
    <row r="5" spans="1:8" x14ac:dyDescent="0.25">
      <c r="A5" s="18">
        <v>260.41199999999998</v>
      </c>
      <c r="B5" s="18">
        <f t="shared" si="0"/>
        <v>300.41199999999998</v>
      </c>
      <c r="C5" s="19">
        <v>73.718000000000004</v>
      </c>
      <c r="D5" s="19">
        <v>0.66300000000000003</v>
      </c>
    </row>
    <row r="6" spans="1:8" x14ac:dyDescent="0.25">
      <c r="A6" s="18">
        <v>264.08</v>
      </c>
      <c r="B6" s="18">
        <f t="shared" si="0"/>
        <v>304.08</v>
      </c>
      <c r="C6" s="19">
        <v>72.988</v>
      </c>
      <c r="D6" s="19">
        <v>0.66200000000000003</v>
      </c>
    </row>
    <row r="7" spans="1:8" x14ac:dyDescent="0.25">
      <c r="A7" s="18">
        <v>267.71100000000001</v>
      </c>
      <c r="B7" s="18">
        <f t="shared" si="0"/>
        <v>307.71100000000001</v>
      </c>
      <c r="C7" s="19">
        <v>72.263999999999996</v>
      </c>
      <c r="D7" s="19">
        <v>0.66200000000000003</v>
      </c>
    </row>
    <row r="8" spans="1:8" x14ac:dyDescent="0.25">
      <c r="A8" s="18">
        <v>271.30599999999998</v>
      </c>
      <c r="B8" s="18">
        <f t="shared" si="0"/>
        <v>311.30599999999998</v>
      </c>
      <c r="C8" s="19">
        <v>71.546000000000006</v>
      </c>
      <c r="D8" s="19">
        <v>0.66200000000000003</v>
      </c>
    </row>
    <row r="9" spans="1:8" x14ac:dyDescent="0.25">
      <c r="A9" s="18">
        <v>274.86500000000001</v>
      </c>
      <c r="B9" s="18">
        <f t="shared" si="0"/>
        <v>314.86500000000001</v>
      </c>
      <c r="C9" s="19">
        <v>70.834000000000003</v>
      </c>
      <c r="D9" s="19">
        <v>0.66200000000000003</v>
      </c>
    </row>
    <row r="10" spans="1:8" x14ac:dyDescent="0.25">
      <c r="A10" s="18">
        <v>278.39</v>
      </c>
      <c r="B10" s="18">
        <f t="shared" si="0"/>
        <v>318.39</v>
      </c>
      <c r="C10" s="19">
        <v>70.126999999999995</v>
      </c>
      <c r="D10" s="19">
        <v>0.66200000000000003</v>
      </c>
    </row>
    <row r="11" spans="1:8" x14ac:dyDescent="0.25">
      <c r="A11" s="18">
        <v>281.87799999999999</v>
      </c>
      <c r="B11" s="18">
        <f t="shared" si="0"/>
        <v>321.87799999999999</v>
      </c>
      <c r="C11" s="19">
        <v>69.424999999999997</v>
      </c>
      <c r="D11" s="19">
        <v>0.66100000000000003</v>
      </c>
    </row>
    <row r="12" spans="1:8" x14ac:dyDescent="0.25">
      <c r="A12" s="18">
        <v>285.33199999999999</v>
      </c>
      <c r="B12" s="18">
        <f t="shared" si="0"/>
        <v>325.33199999999999</v>
      </c>
      <c r="C12" s="19">
        <v>68.727000000000004</v>
      </c>
      <c r="D12" s="19">
        <v>0.66100000000000003</v>
      </c>
    </row>
    <row r="13" spans="1:8" x14ac:dyDescent="0.25">
      <c r="A13" s="18">
        <v>288.75099999999998</v>
      </c>
      <c r="B13" s="18">
        <f t="shared" si="0"/>
        <v>328.75099999999998</v>
      </c>
      <c r="C13" s="19">
        <v>68.031999999999996</v>
      </c>
      <c r="D13" s="19">
        <v>0.66100000000000003</v>
      </c>
    </row>
    <row r="14" spans="1:8" x14ac:dyDescent="0.25">
      <c r="A14" s="18">
        <v>292.13499999999999</v>
      </c>
      <c r="B14" s="18">
        <f t="shared" si="0"/>
        <v>332.13499999999999</v>
      </c>
      <c r="C14" s="19">
        <v>67.34</v>
      </c>
      <c r="D14" s="19">
        <v>0.66100000000000003</v>
      </c>
    </row>
    <row r="15" spans="1:8" x14ac:dyDescent="0.25">
      <c r="A15" s="18">
        <v>295.48500000000001</v>
      </c>
      <c r="B15" s="18">
        <f t="shared" si="0"/>
        <v>335.48500000000001</v>
      </c>
      <c r="C15" s="19">
        <v>66.650999999999996</v>
      </c>
      <c r="D15" s="19">
        <v>0.66</v>
      </c>
    </row>
    <row r="16" spans="1:8" x14ac:dyDescent="0.25">
      <c r="A16" s="18">
        <v>298.8</v>
      </c>
      <c r="B16" s="18">
        <f t="shared" si="0"/>
        <v>338.8</v>
      </c>
      <c r="C16" s="19">
        <v>65.963999999999999</v>
      </c>
      <c r="D16" s="19">
        <v>0.66</v>
      </c>
    </row>
    <row r="17" spans="1:4" x14ac:dyDescent="0.25">
      <c r="A17" s="20">
        <v>302.08199999999999</v>
      </c>
      <c r="B17" s="20">
        <f t="shared" si="0"/>
        <v>342.08199999999999</v>
      </c>
      <c r="C17" s="19">
        <v>65.283000000000001</v>
      </c>
      <c r="D17" s="19">
        <v>0.66</v>
      </c>
    </row>
    <row r="18" spans="1:4" x14ac:dyDescent="0.25">
      <c r="A18" s="20">
        <v>305.32900000000001</v>
      </c>
      <c r="B18" s="20">
        <f t="shared" si="0"/>
        <v>345.32900000000001</v>
      </c>
      <c r="C18" s="19">
        <v>64.606999999999999</v>
      </c>
      <c r="D18" s="19">
        <v>0.66</v>
      </c>
    </row>
    <row r="19" spans="1:4" x14ac:dyDescent="0.25">
      <c r="A19" s="20">
        <v>308.54199999999997</v>
      </c>
      <c r="B19" s="20">
        <f t="shared" si="0"/>
        <v>348.54199999999997</v>
      </c>
      <c r="C19" s="19">
        <v>63.936</v>
      </c>
      <c r="D19" s="19">
        <v>0.66</v>
      </c>
    </row>
    <row r="20" spans="1:4" x14ac:dyDescent="0.25">
      <c r="A20" s="20">
        <v>311.72199999999998</v>
      </c>
      <c r="B20" s="20">
        <f t="shared" si="0"/>
        <v>351.72199999999998</v>
      </c>
      <c r="C20" s="19">
        <v>63.27</v>
      </c>
      <c r="D20" s="19">
        <v>0.66</v>
      </c>
    </row>
    <row r="21" spans="1:4" x14ac:dyDescent="0.25">
      <c r="A21" s="20">
        <v>314.86900000000003</v>
      </c>
      <c r="B21" s="20">
        <f t="shared" si="0"/>
        <v>354.86900000000003</v>
      </c>
      <c r="C21" s="19">
        <v>62.607999999999997</v>
      </c>
      <c r="D21" s="19">
        <v>0.65900000000000003</v>
      </c>
    </row>
    <row r="22" spans="1:4" x14ac:dyDescent="0.25">
      <c r="A22" s="20">
        <v>317.983</v>
      </c>
      <c r="B22" s="20">
        <f t="shared" si="0"/>
        <v>357.983</v>
      </c>
      <c r="C22" s="19">
        <v>61.95</v>
      </c>
      <c r="D22" s="19">
        <v>0.65900000000000003</v>
      </c>
    </row>
    <row r="23" spans="1:4" x14ac:dyDescent="0.25">
      <c r="A23" s="20">
        <v>321.06400000000002</v>
      </c>
      <c r="B23" s="20">
        <f t="shared" si="0"/>
        <v>361.06400000000002</v>
      </c>
      <c r="C23" s="19">
        <v>61.295999999999999</v>
      </c>
      <c r="D23" s="19">
        <v>0.65900000000000003</v>
      </c>
    </row>
    <row r="24" spans="1:4" x14ac:dyDescent="0.25">
      <c r="A24" s="20">
        <v>324.113</v>
      </c>
      <c r="B24" s="20">
        <f t="shared" si="0"/>
        <v>364.113</v>
      </c>
      <c r="C24" s="19">
        <v>60.645000000000003</v>
      </c>
      <c r="D24" s="19">
        <v>0.65900000000000003</v>
      </c>
    </row>
    <row r="25" spans="1:4" x14ac:dyDescent="0.25">
      <c r="A25" s="20">
        <v>327.12900000000002</v>
      </c>
      <c r="B25" s="20">
        <f t="shared" si="0"/>
        <v>367.12900000000002</v>
      </c>
      <c r="C25" s="19">
        <v>59.996000000000002</v>
      </c>
      <c r="D25" s="19">
        <v>0.65900000000000003</v>
      </c>
    </row>
    <row r="26" spans="1:4" x14ac:dyDescent="0.25">
      <c r="A26" s="20">
        <v>330.113</v>
      </c>
      <c r="B26" s="20">
        <f t="shared" si="0"/>
        <v>370.113</v>
      </c>
      <c r="C26" s="19">
        <v>59.35</v>
      </c>
      <c r="D26" s="19">
        <v>0.65900000000000003</v>
      </c>
    </row>
    <row r="27" spans="1:4" x14ac:dyDescent="0.25">
      <c r="A27" s="20">
        <v>333.06400000000002</v>
      </c>
      <c r="B27" s="20">
        <f t="shared" si="0"/>
        <v>373.06400000000002</v>
      </c>
      <c r="C27" s="19">
        <v>58.706000000000003</v>
      </c>
      <c r="D27" s="19">
        <v>0.65800000000000003</v>
      </c>
    </row>
    <row r="28" spans="1:4" x14ac:dyDescent="0.25">
      <c r="A28" s="20">
        <v>335.983</v>
      </c>
      <c r="B28" s="20">
        <f t="shared" si="0"/>
        <v>375.983</v>
      </c>
      <c r="C28" s="19">
        <v>58.064999999999998</v>
      </c>
      <c r="D28" s="19">
        <v>0.65800000000000003</v>
      </c>
    </row>
    <row r="29" spans="1:4" x14ac:dyDescent="0.25">
      <c r="A29" s="20">
        <v>338.87</v>
      </c>
      <c r="B29" s="20">
        <f t="shared" si="0"/>
        <v>378.87</v>
      </c>
      <c r="C29" s="19">
        <v>57.427999999999997</v>
      </c>
      <c r="D29" s="19">
        <v>0.65800000000000003</v>
      </c>
    </row>
    <row r="30" spans="1:4" x14ac:dyDescent="0.25">
      <c r="A30" s="20">
        <v>341.726</v>
      </c>
      <c r="B30" s="20">
        <f t="shared" si="0"/>
        <v>381.726</v>
      </c>
      <c r="C30" s="19">
        <v>56.795000000000002</v>
      </c>
      <c r="D30" s="19">
        <v>0.65800000000000003</v>
      </c>
    </row>
    <row r="31" spans="1:4" x14ac:dyDescent="0.25">
      <c r="A31" s="20">
        <v>344.55</v>
      </c>
      <c r="B31" s="20">
        <f t="shared" si="0"/>
        <v>384.55</v>
      </c>
      <c r="C31" s="19">
        <v>56.165999999999997</v>
      </c>
      <c r="D31" s="19">
        <v>0.65800000000000003</v>
      </c>
    </row>
    <row r="32" spans="1:4" x14ac:dyDescent="0.25">
      <c r="A32" s="20">
        <v>347.34300000000002</v>
      </c>
      <c r="B32" s="20">
        <f t="shared" si="0"/>
        <v>387.34300000000002</v>
      </c>
      <c r="C32" s="19">
        <v>55.54</v>
      </c>
      <c r="D32" s="19">
        <v>0.65800000000000003</v>
      </c>
    </row>
    <row r="33" spans="1:4" x14ac:dyDescent="0.25">
      <c r="A33" s="20">
        <v>350.10399999999998</v>
      </c>
      <c r="B33" s="20">
        <f t="shared" si="0"/>
        <v>390.10399999999998</v>
      </c>
      <c r="C33" s="19">
        <v>54.917999999999999</v>
      </c>
      <c r="D33" s="19">
        <v>0.65700000000000003</v>
      </c>
    </row>
    <row r="34" spans="1:4" x14ac:dyDescent="0.25">
      <c r="A34" s="20">
        <v>352.83499999999998</v>
      </c>
      <c r="B34" s="20">
        <f t="shared" si="0"/>
        <v>392.83499999999998</v>
      </c>
      <c r="C34" s="19">
        <v>54.3</v>
      </c>
      <c r="D34" s="19">
        <v>0.65700000000000003</v>
      </c>
    </row>
    <row r="35" spans="1:4" x14ac:dyDescent="0.25">
      <c r="A35" s="21">
        <v>355.53399999999999</v>
      </c>
      <c r="B35" s="21">
        <f t="shared" si="0"/>
        <v>395.53399999999999</v>
      </c>
      <c r="C35" s="19">
        <v>53.685000000000002</v>
      </c>
      <c r="D35" s="19">
        <v>0.65700000000000003</v>
      </c>
    </row>
    <row r="36" spans="1:4" x14ac:dyDescent="0.25">
      <c r="A36" s="21">
        <v>358.20299999999997</v>
      </c>
      <c r="B36" s="21">
        <f t="shared" si="0"/>
        <v>398.20299999999997</v>
      </c>
      <c r="C36" s="19">
        <v>53.072000000000003</v>
      </c>
      <c r="D36" s="19">
        <v>0.65700000000000003</v>
      </c>
    </row>
    <row r="37" spans="1:4" x14ac:dyDescent="0.25">
      <c r="A37" s="21">
        <v>360.84100000000001</v>
      </c>
      <c r="B37" s="21">
        <f t="shared" si="0"/>
        <v>400.84100000000001</v>
      </c>
      <c r="C37" s="19">
        <v>52.462000000000003</v>
      </c>
      <c r="D37" s="19">
        <v>0.65700000000000003</v>
      </c>
    </row>
    <row r="38" spans="1:4" x14ac:dyDescent="0.25">
      <c r="A38" s="21">
        <v>363.44900000000001</v>
      </c>
      <c r="B38" s="21">
        <f t="shared" si="0"/>
        <v>403.44900000000001</v>
      </c>
      <c r="C38" s="19">
        <v>51.853999999999999</v>
      </c>
      <c r="D38" s="19">
        <v>0.65700000000000003</v>
      </c>
    </row>
    <row r="39" spans="1:4" x14ac:dyDescent="0.25">
      <c r="A39" s="21">
        <v>366.02699999999999</v>
      </c>
      <c r="B39" s="21">
        <f t="shared" si="0"/>
        <v>406.02699999999999</v>
      </c>
      <c r="C39" s="19">
        <v>51.249000000000002</v>
      </c>
      <c r="D39" s="19">
        <v>0.65700000000000003</v>
      </c>
    </row>
    <row r="40" spans="1:4" x14ac:dyDescent="0.25">
      <c r="A40" s="21">
        <v>368.57400000000001</v>
      </c>
      <c r="B40" s="21">
        <f t="shared" si="0"/>
        <v>408.57400000000001</v>
      </c>
      <c r="C40" s="19">
        <v>50.645000000000003</v>
      </c>
      <c r="D40" s="19">
        <v>0.65600000000000003</v>
      </c>
    </row>
    <row r="41" spans="1:4" x14ac:dyDescent="0.25">
      <c r="A41" s="21">
        <v>371.09100000000001</v>
      </c>
      <c r="B41" s="21">
        <f t="shared" si="0"/>
        <v>411.09100000000001</v>
      </c>
      <c r="C41" s="19">
        <v>50.043999999999997</v>
      </c>
      <c r="D41" s="19">
        <v>0.65600000000000003</v>
      </c>
    </row>
    <row r="42" spans="1:4" x14ac:dyDescent="0.25">
      <c r="A42" s="21">
        <v>373.57900000000001</v>
      </c>
      <c r="B42" s="21">
        <f t="shared" si="0"/>
        <v>413.57900000000001</v>
      </c>
      <c r="C42" s="19">
        <v>49.444000000000003</v>
      </c>
      <c r="D42" s="19">
        <v>0.65600000000000003</v>
      </c>
    </row>
    <row r="43" spans="1:4" x14ac:dyDescent="0.25">
      <c r="A43" s="21">
        <v>376.036</v>
      </c>
      <c r="B43" s="21">
        <f t="shared" si="0"/>
        <v>416.036</v>
      </c>
      <c r="C43" s="19">
        <v>48.847999999999999</v>
      </c>
      <c r="D43" s="19">
        <v>0.65600000000000003</v>
      </c>
    </row>
    <row r="44" spans="1:4" x14ac:dyDescent="0.25">
      <c r="A44" s="21">
        <v>378.46300000000002</v>
      </c>
      <c r="B44" s="21">
        <f t="shared" si="0"/>
        <v>418.46300000000002</v>
      </c>
      <c r="C44" s="19">
        <v>48.255000000000003</v>
      </c>
      <c r="D44" s="19">
        <v>0.65600000000000003</v>
      </c>
    </row>
    <row r="45" spans="1:4" x14ac:dyDescent="0.25">
      <c r="A45" s="21">
        <v>380.86099999999999</v>
      </c>
      <c r="B45" s="21">
        <f t="shared" si="0"/>
        <v>420.86099999999999</v>
      </c>
      <c r="C45" s="19">
        <v>47.664999999999999</v>
      </c>
      <c r="D45" s="19">
        <v>0.65600000000000003</v>
      </c>
    </row>
    <row r="46" spans="1:4" x14ac:dyDescent="0.25">
      <c r="A46" s="21">
        <v>383.23</v>
      </c>
      <c r="B46" s="21">
        <f t="shared" si="0"/>
        <v>423.23</v>
      </c>
      <c r="C46" s="19">
        <v>47.078000000000003</v>
      </c>
      <c r="D46" s="19">
        <v>0.65600000000000003</v>
      </c>
    </row>
    <row r="47" spans="1:4" x14ac:dyDescent="0.25">
      <c r="A47" s="21">
        <v>385.56900000000002</v>
      </c>
      <c r="B47" s="21">
        <f t="shared" si="0"/>
        <v>425.56900000000002</v>
      </c>
      <c r="C47" s="19">
        <v>46.494999999999997</v>
      </c>
      <c r="D47" s="19">
        <v>0.65600000000000003</v>
      </c>
    </row>
    <row r="48" spans="1:4" x14ac:dyDescent="0.25">
      <c r="A48" s="21">
        <v>387.87900000000002</v>
      </c>
      <c r="B48" s="21">
        <f t="shared" si="0"/>
        <v>427.87900000000002</v>
      </c>
      <c r="C48" s="19">
        <v>45.914000000000001</v>
      </c>
      <c r="D48" s="19">
        <v>0.65600000000000003</v>
      </c>
    </row>
    <row r="49" spans="1:4" x14ac:dyDescent="0.25">
      <c r="A49" s="21">
        <v>390.161</v>
      </c>
      <c r="B49" s="21">
        <f t="shared" si="0"/>
        <v>430.161</v>
      </c>
      <c r="C49" s="19">
        <v>45.335000000000001</v>
      </c>
      <c r="D49" s="19">
        <v>0.65500000000000003</v>
      </c>
    </row>
    <row r="50" spans="1:4" x14ac:dyDescent="0.25">
      <c r="A50" s="21">
        <v>392.41300000000001</v>
      </c>
      <c r="B50" s="21">
        <f t="shared" si="0"/>
        <v>432.41300000000001</v>
      </c>
      <c r="C50" s="19">
        <v>44.759</v>
      </c>
      <c r="D50" s="19">
        <v>0.65500000000000003</v>
      </c>
    </row>
    <row r="51" spans="1:4" x14ac:dyDescent="0.25">
      <c r="A51" s="21">
        <v>394.637</v>
      </c>
      <c r="B51" s="21">
        <f t="shared" si="0"/>
        <v>434.637</v>
      </c>
      <c r="C51" s="19">
        <v>44.185000000000002</v>
      </c>
      <c r="D51" s="19">
        <v>0.65500000000000003</v>
      </c>
    </row>
    <row r="52" spans="1:4" x14ac:dyDescent="0.25">
      <c r="A52" s="21">
        <v>396.83199999999999</v>
      </c>
      <c r="B52" s="21">
        <f t="shared" si="0"/>
        <v>436.83199999999999</v>
      </c>
      <c r="C52" s="19">
        <v>43.612000000000002</v>
      </c>
      <c r="D52" s="19">
        <v>0.65500000000000003</v>
      </c>
    </row>
    <row r="53" spans="1:4" x14ac:dyDescent="0.25">
      <c r="A53" s="21">
        <v>398.99799999999999</v>
      </c>
      <c r="B53" s="21">
        <f t="shared" si="0"/>
        <v>438.99799999999999</v>
      </c>
      <c r="C53" s="19">
        <v>43.042000000000002</v>
      </c>
      <c r="D53" s="19">
        <v>0.65500000000000003</v>
      </c>
    </row>
    <row r="54" spans="1:4" x14ac:dyDescent="0.25">
      <c r="A54" s="21">
        <v>401.13600000000002</v>
      </c>
      <c r="B54" s="21">
        <f t="shared" si="0"/>
        <v>441.13600000000002</v>
      </c>
      <c r="C54" s="19">
        <v>42.473999999999997</v>
      </c>
      <c r="D54" s="19">
        <v>0.65500000000000003</v>
      </c>
    </row>
    <row r="55" spans="1:4" x14ac:dyDescent="0.25">
      <c r="A55" s="21">
        <v>403.245</v>
      </c>
      <c r="B55" s="21">
        <f t="shared" si="0"/>
        <v>443.245</v>
      </c>
      <c r="C55" s="19">
        <v>41.906999999999996</v>
      </c>
      <c r="D55" s="19">
        <v>0.65500000000000003</v>
      </c>
    </row>
    <row r="56" spans="1:4" x14ac:dyDescent="0.25">
      <c r="A56" s="21">
        <v>405.32600000000002</v>
      </c>
      <c r="B56" s="21">
        <f t="shared" si="0"/>
        <v>445.32600000000002</v>
      </c>
      <c r="C56" s="19">
        <v>41.341000000000001</v>
      </c>
      <c r="D56" s="19">
        <v>0.65500000000000003</v>
      </c>
    </row>
    <row r="57" spans="1:4" x14ac:dyDescent="0.25">
      <c r="A57" s="22">
        <v>407.37900000000002</v>
      </c>
      <c r="B57" s="22">
        <f t="shared" si="0"/>
        <v>447.37900000000002</v>
      </c>
      <c r="C57" s="19">
        <v>40.777000000000001</v>
      </c>
      <c r="D57" s="19">
        <v>0.65500000000000003</v>
      </c>
    </row>
    <row r="58" spans="1:4" x14ac:dyDescent="0.25">
      <c r="A58" s="22">
        <v>409.404</v>
      </c>
      <c r="B58" s="22">
        <f t="shared" si="0"/>
        <v>449.404</v>
      </c>
      <c r="C58" s="19">
        <v>40.215000000000003</v>
      </c>
      <c r="D58" s="19">
        <v>0.65400000000000003</v>
      </c>
    </row>
    <row r="59" spans="1:4" x14ac:dyDescent="0.25">
      <c r="A59" s="22">
        <v>411.40100000000001</v>
      </c>
      <c r="B59" s="22">
        <f t="shared" si="0"/>
        <v>451.40100000000001</v>
      </c>
      <c r="C59" s="19">
        <v>39.655000000000001</v>
      </c>
      <c r="D59" s="19">
        <v>0.65400000000000003</v>
      </c>
    </row>
    <row r="60" spans="1:4" x14ac:dyDescent="0.25">
      <c r="A60" s="22">
        <v>413.37</v>
      </c>
      <c r="B60" s="22">
        <f t="shared" si="0"/>
        <v>453.37</v>
      </c>
      <c r="C60" s="19">
        <v>39.095999999999997</v>
      </c>
      <c r="D60" s="19">
        <v>0.65400000000000003</v>
      </c>
    </row>
    <row r="61" spans="1:4" x14ac:dyDescent="0.25">
      <c r="A61" s="22">
        <v>415.31099999999998</v>
      </c>
      <c r="B61" s="22">
        <f t="shared" si="0"/>
        <v>455.31099999999998</v>
      </c>
      <c r="C61" s="19">
        <v>38.54</v>
      </c>
      <c r="D61" s="19">
        <v>0.65400000000000003</v>
      </c>
    </row>
    <row r="62" spans="1:4" x14ac:dyDescent="0.25">
      <c r="A62" s="22">
        <v>417.22399999999999</v>
      </c>
      <c r="B62" s="22">
        <f t="shared" si="0"/>
        <v>457.22399999999999</v>
      </c>
      <c r="C62" s="19">
        <v>37.985999999999997</v>
      </c>
      <c r="D62" s="19">
        <v>0.65400000000000003</v>
      </c>
    </row>
    <row r="63" spans="1:4" x14ac:dyDescent="0.25">
      <c r="A63" s="22">
        <v>419.10899999999998</v>
      </c>
      <c r="B63" s="22">
        <f t="shared" si="0"/>
        <v>459.10899999999998</v>
      </c>
      <c r="C63" s="19">
        <v>37.435000000000002</v>
      </c>
      <c r="D63" s="19">
        <v>0.65400000000000003</v>
      </c>
    </row>
    <row r="64" spans="1:4" x14ac:dyDescent="0.25">
      <c r="A64" s="22">
        <v>420.96699999999998</v>
      </c>
      <c r="B64" s="22">
        <f t="shared" si="0"/>
        <v>460.96699999999998</v>
      </c>
      <c r="C64" s="19">
        <v>36.886000000000003</v>
      </c>
      <c r="D64" s="19">
        <v>0.65400000000000003</v>
      </c>
    </row>
    <row r="65" spans="1:4" x14ac:dyDescent="0.25">
      <c r="A65" s="22">
        <v>422.798</v>
      </c>
      <c r="B65" s="22">
        <f t="shared" si="0"/>
        <v>462.798</v>
      </c>
      <c r="C65" s="19">
        <v>36.338000000000001</v>
      </c>
      <c r="D65" s="19">
        <v>0.65400000000000003</v>
      </c>
    </row>
    <row r="66" spans="1:4" x14ac:dyDescent="0.25">
      <c r="A66" s="22">
        <v>424.601</v>
      </c>
      <c r="B66" s="22">
        <f t="shared" si="0"/>
        <v>464.601</v>
      </c>
      <c r="C66" s="19">
        <v>35.792999999999999</v>
      </c>
      <c r="D66" s="19">
        <v>0.65400000000000003</v>
      </c>
    </row>
    <row r="67" spans="1:4" x14ac:dyDescent="0.25">
      <c r="A67" s="22">
        <v>426.37700000000001</v>
      </c>
      <c r="B67" s="22">
        <f t="shared" ref="B67:B130" si="1">A67+$G$3</f>
        <v>466.37700000000001</v>
      </c>
      <c r="C67" s="19">
        <v>35.25</v>
      </c>
      <c r="D67" s="19">
        <v>0.65400000000000003</v>
      </c>
    </row>
    <row r="68" spans="1:4" x14ac:dyDescent="0.25">
      <c r="A68" s="22">
        <v>428.12599999999998</v>
      </c>
      <c r="B68" s="22">
        <f t="shared" si="1"/>
        <v>468.12599999999998</v>
      </c>
      <c r="C68" s="19">
        <v>34.707999999999998</v>
      </c>
      <c r="D68" s="19">
        <v>0.65400000000000003</v>
      </c>
    </row>
    <row r="69" spans="1:4" x14ac:dyDescent="0.25">
      <c r="A69" s="22">
        <v>429.84800000000001</v>
      </c>
      <c r="B69" s="22">
        <f t="shared" si="1"/>
        <v>469.84800000000001</v>
      </c>
      <c r="C69" s="19">
        <v>34.167999999999999</v>
      </c>
      <c r="D69" s="19">
        <v>0.65300000000000002</v>
      </c>
    </row>
    <row r="70" spans="1:4" x14ac:dyDescent="0.25">
      <c r="A70" s="22">
        <v>431.54300000000001</v>
      </c>
      <c r="B70" s="22">
        <f t="shared" si="1"/>
        <v>471.54300000000001</v>
      </c>
      <c r="C70" s="19">
        <v>33.630000000000003</v>
      </c>
      <c r="D70" s="19">
        <v>0.65300000000000002</v>
      </c>
    </row>
    <row r="71" spans="1:4" x14ac:dyDescent="0.25">
      <c r="A71" s="22">
        <v>433.21100000000001</v>
      </c>
      <c r="B71" s="22">
        <f t="shared" si="1"/>
        <v>473.21100000000001</v>
      </c>
      <c r="C71" s="19">
        <v>33.094000000000001</v>
      </c>
      <c r="D71" s="19">
        <v>0.65300000000000002</v>
      </c>
    </row>
    <row r="72" spans="1:4" x14ac:dyDescent="0.25">
      <c r="A72" s="22">
        <v>434.85199999999998</v>
      </c>
      <c r="B72" s="22">
        <f t="shared" si="1"/>
        <v>474.85199999999998</v>
      </c>
      <c r="C72" s="19">
        <v>32.558</v>
      </c>
      <c r="D72" s="19">
        <v>0.65300000000000002</v>
      </c>
    </row>
    <row r="73" spans="1:4" x14ac:dyDescent="0.25">
      <c r="A73" s="22">
        <v>436.46699999999998</v>
      </c>
      <c r="B73" s="22">
        <f t="shared" si="1"/>
        <v>476.46699999999998</v>
      </c>
      <c r="C73" s="19">
        <v>32.024999999999999</v>
      </c>
      <c r="D73" s="19">
        <v>0.65300000000000002</v>
      </c>
    </row>
    <row r="74" spans="1:4" x14ac:dyDescent="0.25">
      <c r="A74" s="22">
        <v>438.05500000000001</v>
      </c>
      <c r="B74" s="22">
        <f t="shared" si="1"/>
        <v>478.05500000000001</v>
      </c>
      <c r="C74" s="19">
        <v>31.492000000000001</v>
      </c>
      <c r="D74" s="19">
        <v>0.65300000000000002</v>
      </c>
    </row>
    <row r="75" spans="1:4" x14ac:dyDescent="0.25">
      <c r="A75" s="22">
        <v>439.61599999999999</v>
      </c>
      <c r="B75" s="22">
        <f t="shared" si="1"/>
        <v>479.61599999999999</v>
      </c>
      <c r="C75" s="19">
        <v>30.96</v>
      </c>
      <c r="D75" s="19">
        <v>0.65300000000000002</v>
      </c>
    </row>
    <row r="76" spans="1:4" x14ac:dyDescent="0.25">
      <c r="A76" s="22">
        <v>441.15100000000001</v>
      </c>
      <c r="B76" s="22">
        <f t="shared" si="1"/>
        <v>481.15100000000001</v>
      </c>
      <c r="C76" s="19">
        <v>30.428999999999998</v>
      </c>
      <c r="D76" s="19">
        <v>0.65300000000000002</v>
      </c>
    </row>
    <row r="77" spans="1:4" x14ac:dyDescent="0.25">
      <c r="A77" s="22">
        <v>442.65899999999999</v>
      </c>
      <c r="B77" s="22">
        <f t="shared" si="1"/>
        <v>482.65899999999999</v>
      </c>
      <c r="C77" s="19">
        <v>29.899000000000001</v>
      </c>
      <c r="D77" s="19">
        <v>0.65300000000000002</v>
      </c>
    </row>
    <row r="78" spans="1:4" x14ac:dyDescent="0.25">
      <c r="A78" s="22">
        <v>444.14100000000002</v>
      </c>
      <c r="B78" s="22">
        <f t="shared" si="1"/>
        <v>484.14100000000002</v>
      </c>
      <c r="C78" s="19">
        <v>29.372</v>
      </c>
      <c r="D78" s="19">
        <v>0.65300000000000002</v>
      </c>
    </row>
    <row r="79" spans="1:4" x14ac:dyDescent="0.25">
      <c r="A79" s="22">
        <v>445.596</v>
      </c>
      <c r="B79" s="22">
        <f t="shared" si="1"/>
        <v>485.596</v>
      </c>
      <c r="C79" s="19">
        <v>28.844999999999999</v>
      </c>
      <c r="D79" s="19">
        <v>0.65300000000000002</v>
      </c>
    </row>
    <row r="80" spans="1:4" x14ac:dyDescent="0.25">
      <c r="A80" s="22">
        <v>447.02499999999998</v>
      </c>
      <c r="B80" s="22">
        <f t="shared" si="1"/>
        <v>487.02499999999998</v>
      </c>
      <c r="C80" s="19">
        <v>28.318999999999999</v>
      </c>
      <c r="D80" s="19">
        <v>0.65300000000000002</v>
      </c>
    </row>
    <row r="81" spans="1:4" x14ac:dyDescent="0.25">
      <c r="A81" s="22">
        <v>448.428</v>
      </c>
      <c r="B81" s="22">
        <f t="shared" si="1"/>
        <v>488.428</v>
      </c>
      <c r="C81" s="19">
        <v>27.794</v>
      </c>
      <c r="D81" s="19">
        <v>0.65300000000000002</v>
      </c>
    </row>
    <row r="82" spans="1:4" x14ac:dyDescent="0.25">
      <c r="A82" s="22">
        <v>449.80500000000001</v>
      </c>
      <c r="B82" s="22">
        <f t="shared" si="1"/>
        <v>489.80500000000001</v>
      </c>
      <c r="C82" s="19">
        <v>27.27</v>
      </c>
      <c r="D82" s="19">
        <v>0.65300000000000002</v>
      </c>
    </row>
    <row r="83" spans="1:4" x14ac:dyDescent="0.25">
      <c r="A83" s="22">
        <v>451.15499999999997</v>
      </c>
      <c r="B83" s="22">
        <f t="shared" si="1"/>
        <v>491.15499999999997</v>
      </c>
      <c r="C83" s="19">
        <v>26.748000000000001</v>
      </c>
      <c r="D83" s="19">
        <v>0.65300000000000002</v>
      </c>
    </row>
    <row r="84" spans="1:4" x14ac:dyDescent="0.25">
      <c r="A84" s="22">
        <v>452.48</v>
      </c>
      <c r="B84" s="22">
        <f t="shared" si="1"/>
        <v>492.48</v>
      </c>
      <c r="C84" s="19">
        <v>26.227</v>
      </c>
      <c r="D84" s="19">
        <v>0.65200000000000002</v>
      </c>
    </row>
    <row r="85" spans="1:4" x14ac:dyDescent="0.25">
      <c r="A85" s="22">
        <v>453.77800000000002</v>
      </c>
      <c r="B85" s="22">
        <f t="shared" si="1"/>
        <v>493.77800000000002</v>
      </c>
      <c r="C85" s="19">
        <v>25.707000000000001</v>
      </c>
      <c r="D85" s="19">
        <v>0.65200000000000002</v>
      </c>
    </row>
    <row r="86" spans="1:4" x14ac:dyDescent="0.25">
      <c r="A86" s="22">
        <v>455.05</v>
      </c>
      <c r="B86" s="22">
        <f t="shared" si="1"/>
        <v>495.05</v>
      </c>
      <c r="C86" s="19">
        <v>25.189</v>
      </c>
      <c r="D86" s="19">
        <v>0.65200000000000002</v>
      </c>
    </row>
    <row r="87" spans="1:4" x14ac:dyDescent="0.25">
      <c r="A87" s="22">
        <v>456.29700000000003</v>
      </c>
      <c r="B87" s="22">
        <f t="shared" si="1"/>
        <v>496.29700000000003</v>
      </c>
      <c r="C87" s="19">
        <v>24.672000000000001</v>
      </c>
      <c r="D87" s="19">
        <v>0.65200000000000002</v>
      </c>
    </row>
    <row r="88" spans="1:4" x14ac:dyDescent="0.25">
      <c r="A88" s="22">
        <v>457.51799999999997</v>
      </c>
      <c r="B88" s="22">
        <f t="shared" si="1"/>
        <v>497.51799999999997</v>
      </c>
      <c r="C88" s="19">
        <v>24.155999999999999</v>
      </c>
      <c r="D88" s="19">
        <v>0.65200000000000002</v>
      </c>
    </row>
    <row r="89" spans="1:4" x14ac:dyDescent="0.25">
      <c r="A89" s="23">
        <v>458.71199999999999</v>
      </c>
      <c r="B89" s="23">
        <f t="shared" si="1"/>
        <v>498.71199999999999</v>
      </c>
      <c r="C89" s="19">
        <v>23.641999999999999</v>
      </c>
      <c r="D89" s="19">
        <v>0.65200000000000002</v>
      </c>
    </row>
    <row r="90" spans="1:4" x14ac:dyDescent="0.25">
      <c r="A90" s="23">
        <v>459.88200000000001</v>
      </c>
      <c r="B90" s="23">
        <f t="shared" si="1"/>
        <v>499.88200000000001</v>
      </c>
      <c r="C90" s="19">
        <v>23.129000000000001</v>
      </c>
      <c r="D90" s="19">
        <v>0.65200000000000002</v>
      </c>
    </row>
    <row r="91" spans="1:4" x14ac:dyDescent="0.25">
      <c r="A91" s="23">
        <v>461.02499999999998</v>
      </c>
      <c r="B91" s="23">
        <f t="shared" si="1"/>
        <v>501.02499999999998</v>
      </c>
      <c r="C91" s="19">
        <v>22.617000000000001</v>
      </c>
      <c r="D91" s="19">
        <v>0.65200000000000002</v>
      </c>
    </row>
    <row r="92" spans="1:4" x14ac:dyDescent="0.25">
      <c r="A92" s="23">
        <v>462.14400000000001</v>
      </c>
      <c r="B92" s="23">
        <f t="shared" si="1"/>
        <v>502.14400000000001</v>
      </c>
      <c r="C92" s="19">
        <v>22.106999999999999</v>
      </c>
      <c r="D92" s="19">
        <v>0.65200000000000002</v>
      </c>
    </row>
    <row r="93" spans="1:4" x14ac:dyDescent="0.25">
      <c r="A93" s="23">
        <v>463.23599999999999</v>
      </c>
      <c r="B93" s="23">
        <f t="shared" si="1"/>
        <v>503.23599999999999</v>
      </c>
      <c r="C93" s="19">
        <v>21.597000000000001</v>
      </c>
      <c r="D93" s="19">
        <v>0.65200000000000002</v>
      </c>
    </row>
    <row r="94" spans="1:4" x14ac:dyDescent="0.25">
      <c r="A94" s="23">
        <v>463.36200000000002</v>
      </c>
      <c r="B94" s="23">
        <f t="shared" si="1"/>
        <v>503.36200000000002</v>
      </c>
      <c r="C94" s="19">
        <v>21.538</v>
      </c>
      <c r="D94" s="19">
        <v>0.65200000000000002</v>
      </c>
    </row>
    <row r="95" spans="1:4" x14ac:dyDescent="0.25">
      <c r="A95" s="23">
        <v>463.55</v>
      </c>
      <c r="B95" s="23">
        <f t="shared" si="1"/>
        <v>503.55</v>
      </c>
      <c r="C95" s="19">
        <v>21.449000000000002</v>
      </c>
      <c r="D95" s="19">
        <v>0.65200000000000002</v>
      </c>
    </row>
    <row r="96" spans="1:4" x14ac:dyDescent="0.25">
      <c r="A96" s="23">
        <v>463.83100000000002</v>
      </c>
      <c r="B96" s="23">
        <f t="shared" si="1"/>
        <v>503.83100000000002</v>
      </c>
      <c r="C96" s="19">
        <v>21.315000000000001</v>
      </c>
      <c r="D96" s="19">
        <v>0.65200000000000002</v>
      </c>
    </row>
    <row r="97" spans="1:4" x14ac:dyDescent="0.25">
      <c r="A97" s="23">
        <v>464.24799999999999</v>
      </c>
      <c r="B97" s="23">
        <f t="shared" si="1"/>
        <v>504.24799999999999</v>
      </c>
      <c r="C97" s="19">
        <v>21.114999999999998</v>
      </c>
      <c r="D97" s="19">
        <v>0.65200000000000002</v>
      </c>
    </row>
    <row r="98" spans="1:4" x14ac:dyDescent="0.25">
      <c r="A98" s="23">
        <v>464.86799999999999</v>
      </c>
      <c r="B98" s="23">
        <f t="shared" si="1"/>
        <v>504.86799999999999</v>
      </c>
      <c r="C98" s="19">
        <v>20.815999999999999</v>
      </c>
      <c r="D98" s="19">
        <v>0.65200000000000002</v>
      </c>
    </row>
    <row r="99" spans="1:4" x14ac:dyDescent="0.25">
      <c r="A99" s="23">
        <v>465.78</v>
      </c>
      <c r="B99" s="23">
        <f t="shared" si="1"/>
        <v>505.78</v>
      </c>
      <c r="C99" s="19">
        <v>20.367000000000001</v>
      </c>
      <c r="D99" s="19">
        <v>0.65200000000000002</v>
      </c>
    </row>
    <row r="100" spans="1:4" x14ac:dyDescent="0.25">
      <c r="A100" s="23">
        <v>466.78500000000003</v>
      </c>
      <c r="B100" s="23">
        <f t="shared" si="1"/>
        <v>506.78500000000003</v>
      </c>
      <c r="C100" s="19">
        <v>19.861000000000001</v>
      </c>
      <c r="D100" s="19">
        <v>0.65200000000000002</v>
      </c>
    </row>
    <row r="101" spans="1:4" x14ac:dyDescent="0.25">
      <c r="A101" s="23">
        <v>467.76600000000002</v>
      </c>
      <c r="B101" s="23">
        <f t="shared" si="1"/>
        <v>507.76600000000002</v>
      </c>
      <c r="C101" s="19">
        <v>19.356000000000002</v>
      </c>
      <c r="D101" s="19">
        <v>0.65200000000000002</v>
      </c>
    </row>
    <row r="102" spans="1:4" x14ac:dyDescent="0.25">
      <c r="A102" s="23">
        <v>468.721</v>
      </c>
      <c r="B102" s="23">
        <f t="shared" si="1"/>
        <v>508.721</v>
      </c>
      <c r="C102" s="19">
        <v>18.850999999999999</v>
      </c>
      <c r="D102" s="19">
        <v>0.65200000000000002</v>
      </c>
    </row>
    <row r="103" spans="1:4" x14ac:dyDescent="0.25">
      <c r="A103" s="23">
        <v>469.65100000000001</v>
      </c>
      <c r="B103" s="23">
        <f t="shared" si="1"/>
        <v>509.65100000000001</v>
      </c>
      <c r="C103" s="19">
        <v>18.347999999999999</v>
      </c>
      <c r="D103" s="19">
        <v>0.65200000000000002</v>
      </c>
    </row>
    <row r="104" spans="1:4" x14ac:dyDescent="0.25">
      <c r="A104" s="23">
        <v>470.55599999999998</v>
      </c>
      <c r="B104" s="23">
        <f t="shared" si="1"/>
        <v>510.55599999999998</v>
      </c>
      <c r="C104" s="19">
        <v>17.844999999999999</v>
      </c>
      <c r="D104" s="19">
        <v>0.65200000000000002</v>
      </c>
    </row>
    <row r="105" spans="1:4" x14ac:dyDescent="0.25">
      <c r="A105" s="23">
        <v>471.43599999999998</v>
      </c>
      <c r="B105" s="23">
        <f t="shared" si="1"/>
        <v>511.43599999999998</v>
      </c>
      <c r="C105" s="19">
        <v>17.343</v>
      </c>
      <c r="D105" s="19">
        <v>0.65100000000000002</v>
      </c>
    </row>
    <row r="106" spans="1:4" x14ac:dyDescent="0.25">
      <c r="A106" s="23">
        <v>472.29</v>
      </c>
      <c r="B106" s="23">
        <f t="shared" si="1"/>
        <v>512.29</v>
      </c>
      <c r="C106" s="19">
        <v>16.841999999999999</v>
      </c>
      <c r="D106" s="19">
        <v>0.65100000000000002</v>
      </c>
    </row>
    <row r="107" spans="1:4" x14ac:dyDescent="0.25">
      <c r="A107" s="23">
        <v>473.12</v>
      </c>
      <c r="B107" s="23">
        <f t="shared" si="1"/>
        <v>513.12</v>
      </c>
      <c r="C107" s="19">
        <v>16.341000000000001</v>
      </c>
      <c r="D107" s="19">
        <v>0.65100000000000002</v>
      </c>
    </row>
    <row r="108" spans="1:4" x14ac:dyDescent="0.25">
      <c r="A108" s="23">
        <v>473.92399999999998</v>
      </c>
      <c r="B108" s="23">
        <f t="shared" si="1"/>
        <v>513.92399999999998</v>
      </c>
      <c r="C108" s="19">
        <v>15.840999999999999</v>
      </c>
      <c r="D108" s="19">
        <v>0.65100000000000002</v>
      </c>
    </row>
    <row r="109" spans="1:4" x14ac:dyDescent="0.25">
      <c r="A109" s="23">
        <v>474.70400000000001</v>
      </c>
      <c r="B109" s="23">
        <f t="shared" si="1"/>
        <v>514.70399999999995</v>
      </c>
      <c r="C109" s="19">
        <v>15.340999999999999</v>
      </c>
      <c r="D109" s="19">
        <v>0.65100000000000002</v>
      </c>
    </row>
    <row r="110" spans="1:4" x14ac:dyDescent="0.25">
      <c r="A110" s="23">
        <v>475.45800000000003</v>
      </c>
      <c r="B110" s="23">
        <f t="shared" si="1"/>
        <v>515.45800000000008</v>
      </c>
      <c r="C110" s="19">
        <v>14.843</v>
      </c>
      <c r="D110" s="19">
        <v>0.65100000000000002</v>
      </c>
    </row>
    <row r="111" spans="1:4" x14ac:dyDescent="0.25">
      <c r="A111" s="23">
        <v>476.18799999999999</v>
      </c>
      <c r="B111" s="23">
        <f t="shared" si="1"/>
        <v>516.18799999999999</v>
      </c>
      <c r="C111" s="19">
        <v>14.345000000000001</v>
      </c>
      <c r="D111" s="19">
        <v>0.65100000000000002</v>
      </c>
    </row>
    <row r="112" spans="1:4" x14ac:dyDescent="0.25">
      <c r="A112" s="23">
        <v>476.89299999999997</v>
      </c>
      <c r="B112" s="23">
        <f t="shared" si="1"/>
        <v>516.89300000000003</v>
      </c>
      <c r="C112" s="19">
        <v>13.847</v>
      </c>
      <c r="D112" s="19">
        <v>0.65100000000000002</v>
      </c>
    </row>
    <row r="113" spans="1:4" x14ac:dyDescent="0.25">
      <c r="A113" s="23">
        <v>477.57299999999998</v>
      </c>
      <c r="B113" s="23">
        <f t="shared" si="1"/>
        <v>517.57299999999998</v>
      </c>
      <c r="C113" s="19">
        <v>13.35</v>
      </c>
      <c r="D113" s="19">
        <v>0.65100000000000002</v>
      </c>
    </row>
    <row r="114" spans="1:4" x14ac:dyDescent="0.25">
      <c r="A114" s="23">
        <v>478.22800000000001</v>
      </c>
      <c r="B114" s="23">
        <f t="shared" si="1"/>
        <v>518.22800000000007</v>
      </c>
      <c r="C114" s="19">
        <v>12.853999999999999</v>
      </c>
      <c r="D114" s="19">
        <v>0.65100000000000002</v>
      </c>
    </row>
    <row r="115" spans="1:4" x14ac:dyDescent="0.25">
      <c r="A115" s="23">
        <v>478.858</v>
      </c>
      <c r="B115" s="23">
        <f t="shared" si="1"/>
        <v>518.85799999999995</v>
      </c>
      <c r="C115" s="19">
        <v>12.358000000000001</v>
      </c>
      <c r="D115" s="19">
        <v>0.65100000000000002</v>
      </c>
    </row>
    <row r="116" spans="1:4" x14ac:dyDescent="0.25">
      <c r="A116" s="23">
        <v>479.464</v>
      </c>
      <c r="B116" s="23">
        <f t="shared" si="1"/>
        <v>519.46399999999994</v>
      </c>
      <c r="C116" s="19">
        <v>11.862</v>
      </c>
      <c r="D116" s="19">
        <v>0.65100000000000002</v>
      </c>
    </row>
    <row r="117" spans="1:4" x14ac:dyDescent="0.25">
      <c r="A117" s="23">
        <v>480.04399999999998</v>
      </c>
      <c r="B117" s="23">
        <f t="shared" si="1"/>
        <v>520.04399999999998</v>
      </c>
      <c r="C117" s="19">
        <v>11.367000000000001</v>
      </c>
      <c r="D117" s="19">
        <v>0.65100000000000002</v>
      </c>
    </row>
    <row r="118" spans="1:4" x14ac:dyDescent="0.25">
      <c r="A118" s="23">
        <v>480.6</v>
      </c>
      <c r="B118" s="23">
        <f t="shared" si="1"/>
        <v>520.6</v>
      </c>
      <c r="C118" s="19">
        <v>10.872999999999999</v>
      </c>
      <c r="D118" s="19">
        <v>0.65200000000000002</v>
      </c>
    </row>
    <row r="119" spans="1:4" x14ac:dyDescent="0.25">
      <c r="A119" s="23">
        <v>481.13200000000001</v>
      </c>
      <c r="B119" s="23">
        <f t="shared" si="1"/>
        <v>521.13200000000006</v>
      </c>
      <c r="C119" s="19">
        <v>10.379</v>
      </c>
      <c r="D119" s="19">
        <v>0.65300000000000002</v>
      </c>
    </row>
    <row r="120" spans="1:4" x14ac:dyDescent="0.25">
      <c r="A120" s="23">
        <v>481.63799999999998</v>
      </c>
      <c r="B120" s="23">
        <f t="shared" si="1"/>
        <v>521.63799999999992</v>
      </c>
      <c r="C120" s="19">
        <v>9.8859999999999992</v>
      </c>
      <c r="D120" s="19">
        <v>0.65400000000000003</v>
      </c>
    </row>
    <row r="121" spans="1:4" x14ac:dyDescent="0.25">
      <c r="A121" s="23">
        <v>482.12</v>
      </c>
      <c r="B121" s="23">
        <f t="shared" si="1"/>
        <v>522.12</v>
      </c>
      <c r="C121" s="19">
        <v>9.3940000000000001</v>
      </c>
      <c r="D121" s="19">
        <v>0.65600000000000003</v>
      </c>
    </row>
    <row r="122" spans="1:4" x14ac:dyDescent="0.25">
      <c r="A122" s="23">
        <v>482.57799999999997</v>
      </c>
      <c r="B122" s="23">
        <f t="shared" si="1"/>
        <v>522.57799999999997</v>
      </c>
      <c r="C122" s="19">
        <v>8.9019999999999992</v>
      </c>
      <c r="D122" s="19">
        <v>0.65700000000000003</v>
      </c>
    </row>
    <row r="123" spans="1:4" x14ac:dyDescent="0.25">
      <c r="A123" s="23">
        <v>483.01100000000002</v>
      </c>
      <c r="B123" s="23">
        <f t="shared" si="1"/>
        <v>523.01099999999997</v>
      </c>
      <c r="C123" s="19">
        <v>8.4109999999999996</v>
      </c>
      <c r="D123" s="19">
        <v>0.65800000000000003</v>
      </c>
    </row>
    <row r="124" spans="1:4" x14ac:dyDescent="0.25">
      <c r="A124" s="23">
        <v>483.41899999999998</v>
      </c>
      <c r="B124" s="23">
        <f t="shared" si="1"/>
        <v>523.41899999999998</v>
      </c>
      <c r="C124" s="19">
        <v>7.9210000000000003</v>
      </c>
      <c r="D124" s="19">
        <v>0.65900000000000003</v>
      </c>
    </row>
    <row r="125" spans="1:4" x14ac:dyDescent="0.25">
      <c r="A125" s="23">
        <v>483.803</v>
      </c>
      <c r="B125" s="23">
        <f t="shared" si="1"/>
        <v>523.803</v>
      </c>
      <c r="C125" s="19">
        <v>7.431</v>
      </c>
      <c r="D125" s="19">
        <v>0.66100000000000003</v>
      </c>
    </row>
    <row r="126" spans="1:4" x14ac:dyDescent="0.25">
      <c r="A126" s="23">
        <v>484.16199999999998</v>
      </c>
      <c r="B126" s="23">
        <f t="shared" si="1"/>
        <v>524.16200000000003</v>
      </c>
      <c r="C126" s="19">
        <v>6.9420000000000002</v>
      </c>
      <c r="D126" s="19">
        <v>0.66300000000000003</v>
      </c>
    </row>
    <row r="127" spans="1:4" x14ac:dyDescent="0.25">
      <c r="A127" s="23">
        <v>484.49700000000001</v>
      </c>
      <c r="B127" s="23">
        <f t="shared" si="1"/>
        <v>524.49700000000007</v>
      </c>
      <c r="C127" s="19">
        <v>6.4539999999999997</v>
      </c>
      <c r="D127" s="19">
        <v>0.66400000000000003</v>
      </c>
    </row>
    <row r="128" spans="1:4" x14ac:dyDescent="0.25">
      <c r="A128" s="23">
        <v>484.80700000000002</v>
      </c>
      <c r="B128" s="23">
        <f t="shared" si="1"/>
        <v>524.80700000000002</v>
      </c>
      <c r="C128" s="19">
        <v>5.9660000000000002</v>
      </c>
      <c r="D128" s="19">
        <v>0.66600000000000004</v>
      </c>
    </row>
    <row r="129" spans="1:4" x14ac:dyDescent="0.25">
      <c r="A129" s="23">
        <v>485.09399999999999</v>
      </c>
      <c r="B129" s="23">
        <f t="shared" si="1"/>
        <v>525.09400000000005</v>
      </c>
      <c r="C129" s="19">
        <v>5.4790000000000001</v>
      </c>
      <c r="D129" s="19">
        <v>0.66800000000000004</v>
      </c>
    </row>
    <row r="130" spans="1:4" x14ac:dyDescent="0.25">
      <c r="A130" s="23">
        <v>485.35500000000002</v>
      </c>
      <c r="B130" s="23">
        <f t="shared" si="1"/>
        <v>525.35500000000002</v>
      </c>
      <c r="C130" s="19">
        <v>4.9930000000000003</v>
      </c>
      <c r="D130" s="19">
        <v>0.67</v>
      </c>
    </row>
    <row r="131" spans="1:4" x14ac:dyDescent="0.25">
      <c r="A131" s="23">
        <v>485.59300000000002</v>
      </c>
      <c r="B131" s="23">
        <f t="shared" ref="B131:B140" si="2">A131+$G$3</f>
        <v>525.59300000000007</v>
      </c>
      <c r="C131" s="19">
        <v>4.5069999999999997</v>
      </c>
      <c r="D131" s="19">
        <v>0.67100000000000004</v>
      </c>
    </row>
    <row r="132" spans="1:4" x14ac:dyDescent="0.25">
      <c r="A132" s="23">
        <v>485.80599999999998</v>
      </c>
      <c r="B132" s="23">
        <f t="shared" si="2"/>
        <v>525.80600000000004</v>
      </c>
      <c r="C132" s="19">
        <v>4.0229999999999997</v>
      </c>
      <c r="D132" s="19">
        <v>0.67300000000000004</v>
      </c>
    </row>
    <row r="133" spans="1:4" x14ac:dyDescent="0.25">
      <c r="A133" s="23">
        <v>485.995</v>
      </c>
      <c r="B133" s="23">
        <f t="shared" si="2"/>
        <v>525.995</v>
      </c>
      <c r="C133" s="19">
        <v>3.5390000000000001</v>
      </c>
      <c r="D133" s="19">
        <v>0.67500000000000004</v>
      </c>
    </row>
    <row r="134" spans="1:4" x14ac:dyDescent="0.25">
      <c r="A134" s="23">
        <v>486.16</v>
      </c>
      <c r="B134" s="23">
        <f t="shared" si="2"/>
        <v>526.16000000000008</v>
      </c>
      <c r="C134" s="19">
        <v>3.0569999999999999</v>
      </c>
      <c r="D134" s="19">
        <v>0.67700000000000005</v>
      </c>
    </row>
    <row r="135" spans="1:4" x14ac:dyDescent="0.25">
      <c r="A135" s="23">
        <v>486.30099999999999</v>
      </c>
      <c r="B135" s="23">
        <f t="shared" si="2"/>
        <v>526.30099999999993</v>
      </c>
      <c r="C135" s="19">
        <v>2.5750000000000002</v>
      </c>
      <c r="D135" s="19">
        <v>0.67800000000000005</v>
      </c>
    </row>
    <row r="136" spans="1:4" x14ac:dyDescent="0.25">
      <c r="A136" s="23">
        <v>486.41800000000001</v>
      </c>
      <c r="B136" s="23">
        <f t="shared" si="2"/>
        <v>526.41800000000001</v>
      </c>
      <c r="C136" s="19">
        <v>2.0939999999999999</v>
      </c>
      <c r="D136" s="19">
        <v>0.68</v>
      </c>
    </row>
    <row r="137" spans="1:4" x14ac:dyDescent="0.25">
      <c r="A137" s="23">
        <v>486.51</v>
      </c>
      <c r="B137" s="23">
        <f t="shared" si="2"/>
        <v>526.51</v>
      </c>
      <c r="C137" s="19">
        <v>1.6140000000000001</v>
      </c>
      <c r="D137" s="19">
        <v>0.68100000000000005</v>
      </c>
    </row>
    <row r="138" spans="1:4" x14ac:dyDescent="0.25">
      <c r="A138" s="23">
        <v>486.57900000000001</v>
      </c>
      <c r="B138" s="23">
        <f t="shared" si="2"/>
        <v>526.57899999999995</v>
      </c>
      <c r="C138" s="19">
        <v>1.135</v>
      </c>
      <c r="D138" s="19">
        <v>0.68300000000000005</v>
      </c>
    </row>
    <row r="139" spans="1:4" x14ac:dyDescent="0.25">
      <c r="A139" s="23">
        <v>486.62400000000002</v>
      </c>
      <c r="B139" s="23">
        <f t="shared" si="2"/>
        <v>526.62400000000002</v>
      </c>
      <c r="C139" s="19">
        <v>0.65800000000000003</v>
      </c>
      <c r="D139" s="19">
        <v>0.68400000000000005</v>
      </c>
    </row>
    <row r="140" spans="1:4" x14ac:dyDescent="0.25">
      <c r="A140" s="23">
        <v>486.64499999999998</v>
      </c>
      <c r="B140" s="23">
        <f t="shared" si="2"/>
        <v>526.64499999999998</v>
      </c>
      <c r="C140" s="19">
        <v>0.18099999999999999</v>
      </c>
      <c r="D140" s="19">
        <v>0.68300000000000005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Corrections</vt:lpstr>
      <vt:lpstr>Single Airbrake</vt:lpstr>
      <vt:lpstr>Rocket without Airbrakes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Raaghav B</dc:creator>
  <cp:lastModifiedBy>Raaghav B</cp:lastModifiedBy>
  <dcterms:created xsi:type="dcterms:W3CDTF">2026-07-08T06:18:22Z</dcterms:created>
  <dcterms:modified xsi:type="dcterms:W3CDTF">2026-07-08T06:53:51Z</dcterms:modified>
</cp:coreProperties>
</file>